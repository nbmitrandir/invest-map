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InvestMap\EXCEL\"/>
    </mc:Choice>
  </mc:AlternateContent>
  <xr:revisionPtr revIDLastSave="0" documentId="13_ncr:1_{21170274-8FD3-4309-A0ED-3B0F4ACEC2F0}" xr6:coauthVersionLast="47" xr6:coauthVersionMax="47" xr10:uidLastSave="{00000000-0000-0000-0000-000000000000}"/>
  <bookViews>
    <workbookView xWindow="-120" yWindow="-120" windowWidth="29040" windowHeight="15720" xr2:uid="{00000000-000D-0000-FFFF-FFFF00000000}"/>
  </bookViews>
  <sheets>
    <sheet name="ОБЩЕЕ" sheetId="6" r:id="rId1"/>
    <sheet name="Реализованные" sheetId="7" r:id="rId2"/>
    <sheet name="Реализуемые" sheetId="8" r:id="rId3"/>
    <sheet name="Расширение" sheetId="9" r:id="rId4"/>
    <sheet name="Проблемные" sheetId="10" r:id="rId5"/>
    <sheet name="Прост и исключенные" sheetId="11" r:id="rId6"/>
    <sheet name="РКС" sheetId="12" r:id="rId7"/>
    <sheet name="СВОД" sheetId="5" state="hidden" r:id="rId8"/>
    <sheet name="Реализация" sheetId="4" state="hidden" r:id="rId9"/>
  </sheets>
  <definedNames>
    <definedName name="_xlnm._FilterDatabase" localSheetId="0" hidden="1">ОБЩЕЕ!$B$10:$S$106</definedName>
    <definedName name="_xlnm._FilterDatabase" localSheetId="8" hidden="1">Реализация!$A$12:$L$40</definedName>
    <definedName name="_xlnm._FilterDatabase" localSheetId="7" hidden="1">СВОД!$A$8:$K$17</definedName>
    <definedName name="_xlnm.Print_Titles" localSheetId="0">ОБЩЕЕ!$10:$11</definedName>
    <definedName name="_xlnm.Print_Titles" localSheetId="8">Реализация!$10:$11</definedName>
    <definedName name="_xlnm.Print_Titles" localSheetId="7">СВОД!$5:$7</definedName>
    <definedName name="_xlnm.Print_Area" localSheetId="0">ОБЩЕЕ!$B$1:$S$88</definedName>
    <definedName name="_xlnm.Print_Area" localSheetId="8">Реализация!$A$1:$L$40</definedName>
    <definedName name="_xlnm.Print_Area" localSheetId="7">СВОД!$A$1:$K$18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6" l="1"/>
  <c r="E7" i="6"/>
  <c r="E6" i="6"/>
  <c r="E4" i="6"/>
  <c r="K7" i="7"/>
  <c r="F6" i="6" l="1"/>
  <c r="G7" i="6"/>
  <c r="G6" i="6"/>
  <c r="G5" i="6"/>
  <c r="G4" i="6"/>
  <c r="G3" i="6"/>
  <c r="F7" i="6"/>
  <c r="E5" i="6"/>
  <c r="H3" i="6" s="1"/>
  <c r="F5" i="6"/>
  <c r="J3" i="6" l="1"/>
  <c r="K88" i="6"/>
  <c r="K58" i="6"/>
  <c r="K48" i="6"/>
  <c r="K47" i="6"/>
  <c r="K39" i="6"/>
  <c r="K27" i="6"/>
  <c r="K26" i="6"/>
  <c r="K25" i="6"/>
  <c r="K24" i="6"/>
  <c r="K23" i="6"/>
  <c r="K22" i="6"/>
  <c r="K21" i="6"/>
  <c r="K20" i="6"/>
  <c r="K19" i="6"/>
  <c r="K14" i="6"/>
  <c r="K15" i="6"/>
  <c r="K13" i="6"/>
  <c r="F3" i="6" l="1"/>
  <c r="F4" i="6"/>
  <c r="K9" i="5"/>
  <c r="K10" i="5"/>
  <c r="K12" i="5"/>
  <c r="K15" i="5"/>
  <c r="D15" i="5" s="1"/>
  <c r="K17" i="5"/>
  <c r="C10" i="5"/>
  <c r="C11" i="5"/>
  <c r="C12" i="5"/>
  <c r="C13" i="5"/>
  <c r="C14" i="5"/>
  <c r="C15" i="5"/>
  <c r="C16" i="5"/>
  <c r="C17" i="5"/>
  <c r="C18" i="5"/>
  <c r="C9" i="5"/>
  <c r="I8" i="5"/>
  <c r="E8" i="5"/>
  <c r="I3" i="6" l="1"/>
  <c r="K8" i="5"/>
  <c r="C8" i="5"/>
  <c r="J12" i="5"/>
  <c r="J10" i="5"/>
  <c r="J9" i="5"/>
  <c r="J15" i="5"/>
  <c r="J17" i="5"/>
  <c r="G9" i="5"/>
  <c r="H9" i="5"/>
  <c r="G10" i="5"/>
  <c r="D10" i="5" s="1"/>
  <c r="H10" i="5"/>
  <c r="G11" i="5"/>
  <c r="D11" i="5" s="1"/>
  <c r="H11" i="5"/>
  <c r="G12" i="5"/>
  <c r="D12" i="5" s="1"/>
  <c r="H12" i="5"/>
  <c r="G13" i="5"/>
  <c r="D13" i="5" s="1"/>
  <c r="H13" i="5"/>
  <c r="G14" i="5"/>
  <c r="D14" i="5" s="1"/>
  <c r="H14" i="5"/>
  <c r="G16" i="5"/>
  <c r="D16" i="5" s="1"/>
  <c r="H16" i="5"/>
  <c r="G17" i="5"/>
  <c r="D17" i="5" s="1"/>
  <c r="H17" i="5"/>
  <c r="G18" i="5"/>
  <c r="D18" i="5" s="1"/>
  <c r="H18" i="5"/>
  <c r="F9" i="5"/>
  <c r="F10" i="5"/>
  <c r="F18" i="5"/>
  <c r="F14" i="5"/>
  <c r="F13" i="5"/>
  <c r="F17" i="5"/>
  <c r="F12" i="5"/>
  <c r="F16" i="5"/>
  <c r="F11" i="5"/>
  <c r="G12" i="4"/>
  <c r="H12" i="4"/>
  <c r="H8" i="5" l="1"/>
  <c r="J8" i="5"/>
  <c r="G8" i="5"/>
  <c r="D9" i="5"/>
  <c r="D8" i="5" s="1"/>
  <c r="F8" i="5"/>
  <c r="W5" i="4"/>
  <c r="W6" i="4"/>
  <c r="W7" i="4"/>
  <c r="W4" i="4"/>
  <c r="R3" i="4"/>
  <c r="O14" i="4"/>
  <c r="P14" i="4"/>
  <c r="P12" i="4"/>
  <c r="P8" i="4"/>
  <c r="O3" i="4"/>
  <c r="P5" i="4"/>
  <c r="P4" i="4"/>
  <c r="P13" i="4"/>
  <c r="S12" i="4"/>
  <c r="R12" i="4"/>
  <c r="Q6" i="4"/>
  <c r="P6" i="4"/>
  <c r="Q8" i="4"/>
  <c r="Q12" i="4"/>
  <c r="T4" i="4"/>
  <c r="Q4" i="4"/>
  <c r="Q5" i="4"/>
  <c r="Q7" i="4"/>
  <c r="P7" i="4"/>
  <c r="K12" i="4"/>
  <c r="F12" i="4"/>
  <c r="O13" i="4" s="1"/>
  <c r="T7" i="4" l="1"/>
  <c r="V7" i="4" s="1"/>
  <c r="W3" i="4"/>
  <c r="T5" i="4"/>
  <c r="S5" i="4"/>
  <c r="S7" i="4"/>
  <c r="U7" i="4" s="1"/>
  <c r="S6" i="4"/>
  <c r="U6" i="4" s="1"/>
  <c r="T6" i="4"/>
  <c r="V6" i="4" s="1"/>
  <c r="S4" i="4"/>
  <c r="U4" i="4" s="1"/>
  <c r="P3" i="4"/>
  <c r="U5" i="4"/>
  <c r="U12" i="4"/>
  <c r="T12" i="4"/>
  <c r="Q3" i="4"/>
  <c r="V4" i="4"/>
  <c r="T3" i="4" l="1"/>
  <c r="V3" i="4" s="1"/>
  <c r="V5" i="4"/>
  <c r="S3" i="4"/>
  <c r="U3" i="4" s="1"/>
</calcChain>
</file>

<file path=xl/sharedStrings.xml><?xml version="1.0" encoding="utf-8"?>
<sst xmlns="http://schemas.openxmlformats.org/spreadsheetml/2006/main" count="1736" uniqueCount="601">
  <si>
    <t>№</t>
  </si>
  <si>
    <t>Дата РКС</t>
  </si>
  <si>
    <t>Наименование проекта</t>
  </si>
  <si>
    <t>Наименование компании</t>
  </si>
  <si>
    <t>Рабочие места</t>
  </si>
  <si>
    <t>Район/Город</t>
  </si>
  <si>
    <t>Жамбылский</t>
  </si>
  <si>
    <t>ТОО «BELES AGRO KZ»</t>
  </si>
  <si>
    <t>ТОО «Yukos Group»</t>
  </si>
  <si>
    <t>Строительство  тепличного комплекса с целью выращивания томатов</t>
  </si>
  <si>
    <t>Алатау</t>
  </si>
  <si>
    <t>Текущий статус</t>
  </si>
  <si>
    <t>Ген план АРНА</t>
  </si>
  <si>
    <t>Площадь земельного участка, га</t>
  </si>
  <si>
    <t>Земельный участок</t>
  </si>
  <si>
    <t>Уйгурский</t>
  </si>
  <si>
    <t>Финансирование</t>
  </si>
  <si>
    <t>ТОО «Молочная Долина»</t>
  </si>
  <si>
    <t>Строительство молочно-товарной фермы на 1200 голов</t>
  </si>
  <si>
    <t>Ведутся СМР</t>
  </si>
  <si>
    <t>ТОО «Zhetysu Koy»</t>
  </si>
  <si>
    <t>Строительство мясокомбината по докорму, убою и глубокой переработке МРС</t>
  </si>
  <si>
    <t>Подготовка пакета документов</t>
  </si>
  <si>
    <t>Подведение недостающей инфраструктуры</t>
  </si>
  <si>
    <t>Завод по производству соленых закусок</t>
  </si>
  <si>
    <t>Балхашский</t>
  </si>
  <si>
    <t xml:space="preserve">Строительство наружных сетей газоснабжение производственной базы переработки рисовой шелухи в производство древесноугольных брикетов </t>
  </si>
  <si>
    <t>Конаев</t>
  </si>
  <si>
    <t>Строительство рыбопромышленного комплекса, трасса Алматы-Конаев (1 этап)</t>
  </si>
  <si>
    <t>ТОО «Rancho Hampshire»</t>
  </si>
  <si>
    <t>Енбекшиказахский</t>
  </si>
  <si>
    <t>ТОО «Kazakhstan Central Asia Industrial Company., Ltd»</t>
  </si>
  <si>
    <t>Переработка биологических отходов и производство органических, экологически чистых удобрений животного происхождения</t>
  </si>
  <si>
    <t>ТОО «Qazaq Global Food JV»</t>
  </si>
  <si>
    <t>Илийский</t>
  </si>
  <si>
    <t>ТОО «Компания «Сары Булак»</t>
  </si>
  <si>
    <t>По переработке куриного помёта в органические удобрения</t>
  </si>
  <si>
    <t>TOO «DARIA Company»</t>
  </si>
  <si>
    <t>Тепличный комплекс</t>
  </si>
  <si>
    <t>На стадии перепроектирования</t>
  </si>
  <si>
    <t>Талгарский</t>
  </si>
  <si>
    <t>СПК «Племзавод «Алматы»</t>
  </si>
  <si>
    <t>Развитие овцеводства породы Иль-Де-Франс в Жетысу</t>
  </si>
  <si>
    <t>Реализуемый</t>
  </si>
  <si>
    <t>Енбекшиказахский,
ИЗ «Шелек»</t>
  </si>
  <si>
    <t>ТОО «AGROFINANCE»</t>
  </si>
  <si>
    <t>Строительство ультрасовременного фруктохранилища в Алматинской области</t>
  </si>
  <si>
    <t>Ожидает подведения инфраструктуры на ИЗ «Шелек»</t>
  </si>
  <si>
    <t>Размещение ИЗ «Шелек»</t>
  </si>
  <si>
    <t>ТОО «Байсерке Агро»</t>
  </si>
  <si>
    <t>ТОО «QazEcoDan»</t>
  </si>
  <si>
    <t>Кегенский</t>
  </si>
  <si>
    <t>TOО «Тепличный агропромышленный комплекс Синтай»</t>
  </si>
  <si>
    <t>Тепличный агропромышленный комплекс "Xingtai" в Алматинской области</t>
  </si>
  <si>
    <t>Изменение целевого назначения земельного участка</t>
  </si>
  <si>
    <t>г. Конаев</t>
  </si>
  <si>
    <t>ТОО «AXIS Holding»</t>
  </si>
  <si>
    <t>Строительство МТФ</t>
  </si>
  <si>
    <t>Поиск ЗУ для насосной станции</t>
  </si>
  <si>
    <t>ТОО «Alfalfa»</t>
  </si>
  <si>
    <t xml:space="preserve">Выращивание люцерны </t>
  </si>
  <si>
    <t>Ожидание финансирования</t>
  </si>
  <si>
    <t>ТОО «Батал Агро»</t>
  </si>
  <si>
    <t>Производство семян кукурузы родительских форм</t>
  </si>
  <si>
    <t>Судебный процесс касательно ЗУ</t>
  </si>
  <si>
    <t>Талгарский, ИЗ «Кайрат»</t>
  </si>
  <si>
    <t xml:space="preserve">ТОО «MES Story Invest» </t>
  </si>
  <si>
    <t>Строительство завода по производству элеваторов и стальных силосов</t>
  </si>
  <si>
    <t>На стадии разработки ПСД</t>
  </si>
  <si>
    <t>Размещение ИЗ «Кайрат»</t>
  </si>
  <si>
    <t>ТОО «Sofood Kaz»</t>
  </si>
  <si>
    <t>Строительство завода по производству сыра</t>
  </si>
  <si>
    <t>Карасайский</t>
  </si>
  <si>
    <t>ТОО «Жигалма» (Caspian Beverage Holdings)</t>
  </si>
  <si>
    <t>Производство безалкогольных напитков и минеральных вод</t>
  </si>
  <si>
    <t>Подготовка документации</t>
  </si>
  <si>
    <t>ТОО «Дусан Инжиниринг»</t>
  </si>
  <si>
    <t>Организация молочно-товарной фермы</t>
  </si>
  <si>
    <t>Строительство комплекса по приемке, очистке, сушке и хранению зерновых и масленичных культур, производству комбинированных кормов</t>
  </si>
  <si>
    <t>ТОО «Мың жылқы шаруа қожалығы»</t>
  </si>
  <si>
    <t>Подготовка к СМР</t>
  </si>
  <si>
    <t>ТОО «Kasym ASES»</t>
  </si>
  <si>
    <t xml:space="preserve">Завод по переработке куриных лап </t>
  </si>
  <si>
    <t>ТОО «Asian International Trading Company»</t>
  </si>
  <si>
    <t xml:space="preserve">Строительство завода по производству комбикорма из плющенной кукурузы </t>
  </si>
  <si>
    <t>ТОО «Тайда животноводство»</t>
  </si>
  <si>
    <t>Строительство агропромышленного комплекса по производству яиц</t>
  </si>
  <si>
    <t>ТОО «Баканас рис»</t>
  </si>
  <si>
    <t xml:space="preserve">Выращивание риса в Алматинской области </t>
  </si>
  <si>
    <t>Земляные работы</t>
  </si>
  <si>
    <t>ТОО «Кок Тениз К»</t>
  </si>
  <si>
    <t>Расширение мощностей по переработке
 кукурузы с 20 000 до 50 000 тонн в год</t>
  </si>
  <si>
    <t>ТОО «AGRO Bionics»</t>
  </si>
  <si>
    <t>Стоимость, млн. тенге</t>
  </si>
  <si>
    <t>Перечень реализуемых проектов АПК, прошедших РКС за 2023-2025 годы</t>
  </si>
  <si>
    <t>Меры господдержки</t>
  </si>
  <si>
    <t>ТОО «ПепсиКо ЦА»</t>
  </si>
  <si>
    <t>Ввод объекта</t>
  </si>
  <si>
    <t>2028 г.</t>
  </si>
  <si>
    <t>2026 г.</t>
  </si>
  <si>
    <t>2029 г.</t>
  </si>
  <si>
    <t>2030 г.</t>
  </si>
  <si>
    <t>2033 г.</t>
  </si>
  <si>
    <t>2034 г.</t>
  </si>
  <si>
    <t>2027 г.</t>
  </si>
  <si>
    <t>Всего</t>
  </si>
  <si>
    <r>
      <rPr>
        <b/>
        <u/>
        <sz val="16"/>
        <color theme="1"/>
        <rFont val="Arial"/>
        <family val="2"/>
        <charset val="204"/>
      </rPr>
      <t xml:space="preserve">Ввод: </t>
    </r>
    <r>
      <rPr>
        <b/>
        <sz val="16"/>
        <color rgb="FFC00000"/>
        <rFont val="Arial"/>
        <family val="2"/>
        <charset val="204"/>
      </rPr>
      <t>в 2026 г</t>
    </r>
    <r>
      <rPr>
        <sz val="16"/>
        <color theme="1"/>
        <rFont val="Arial"/>
        <family val="2"/>
        <charset val="204"/>
      </rPr>
      <t xml:space="preserve"> - </t>
    </r>
    <r>
      <rPr>
        <b/>
        <sz val="16"/>
        <color theme="1"/>
        <rFont val="Arial"/>
        <family val="2"/>
        <charset val="204"/>
      </rPr>
      <t>6</t>
    </r>
    <r>
      <rPr>
        <sz val="16"/>
        <color theme="1"/>
        <rFont val="Arial"/>
        <family val="2"/>
        <charset val="204"/>
      </rPr>
      <t xml:space="preserve"> проектов на 105,2 млрд.тенге;</t>
    </r>
  </si>
  <si>
    <t>Проект готовится к направлению на ГЭ</t>
  </si>
  <si>
    <r>
      <t xml:space="preserve">Организация производственной базы сельхозназначения
</t>
    </r>
    <r>
      <rPr>
        <i/>
        <sz val="12"/>
        <color theme="1"/>
        <rFont val="Arial"/>
        <family val="2"/>
        <charset val="204"/>
      </rPr>
      <t xml:space="preserve"> (Разведение английской породы овец Гемпшир и выращивание кукурузы, люцерны и разнотравья)</t>
    </r>
  </si>
  <si>
    <r>
      <t>Строительство завода по переработке фруктов и овощей (</t>
    </r>
    <r>
      <rPr>
        <i/>
        <sz val="12"/>
        <color theme="1"/>
        <rFont val="Arial"/>
        <family val="2"/>
        <charset val="204"/>
      </rPr>
      <t>производству концентратов фруктовых соков, овощных и фруктовых пюре с инфраструктурой хранения сортировки и упаковки фруктов)</t>
    </r>
  </si>
  <si>
    <t>СМР завершены, акта ввода на стадии выдачи</t>
  </si>
  <si>
    <t>Строительство и организация деятельности конефермы</t>
  </si>
  <si>
    <t>Подготовительные работы</t>
  </si>
  <si>
    <t>ввод</t>
  </si>
  <si>
    <t>2028-2034</t>
  </si>
  <si>
    <r>
      <rPr>
        <b/>
        <sz val="16"/>
        <color rgb="FFC00000"/>
        <rFont val="Arial"/>
        <family val="2"/>
        <charset val="204"/>
      </rPr>
      <t>в 2028-2034гг</t>
    </r>
    <r>
      <rPr>
        <sz val="16"/>
        <color theme="1"/>
        <rFont val="Arial"/>
        <family val="2"/>
        <charset val="204"/>
      </rPr>
      <t xml:space="preserve"> - </t>
    </r>
    <r>
      <rPr>
        <b/>
        <sz val="16"/>
        <color theme="1"/>
        <rFont val="Arial"/>
        <family val="2"/>
        <charset val="204"/>
      </rPr>
      <t>9</t>
    </r>
    <r>
      <rPr>
        <sz val="16"/>
        <color theme="1"/>
        <rFont val="Arial"/>
        <family val="2"/>
        <charset val="204"/>
      </rPr>
      <t xml:space="preserve"> проектов на 213,2 млрд.тенге.</t>
    </r>
  </si>
  <si>
    <r>
      <rPr>
        <b/>
        <u/>
        <sz val="16"/>
        <color theme="1"/>
        <rFont val="Arial"/>
        <family val="2"/>
        <charset val="204"/>
      </rPr>
      <t>Всего</t>
    </r>
    <r>
      <rPr>
        <sz val="16"/>
        <color theme="1"/>
        <rFont val="Arial"/>
        <family val="2"/>
        <charset val="204"/>
      </rPr>
      <t xml:space="preserve"> - </t>
    </r>
    <r>
      <rPr>
        <b/>
        <sz val="16"/>
        <color theme="1"/>
        <rFont val="Arial"/>
        <family val="2"/>
        <charset val="204"/>
      </rPr>
      <t>28</t>
    </r>
    <r>
      <rPr>
        <sz val="16"/>
        <color theme="1"/>
        <rFont val="Arial"/>
        <family val="2"/>
        <charset val="204"/>
      </rPr>
      <t>, из них:</t>
    </r>
  </si>
  <si>
    <r>
      <t>реализовано -</t>
    </r>
    <r>
      <rPr>
        <b/>
        <sz val="16"/>
        <color rgb="FF0000FF"/>
        <rFont val="Arial"/>
        <family val="2"/>
        <charset val="204"/>
      </rPr>
      <t xml:space="preserve"> 2</t>
    </r>
    <r>
      <rPr>
        <sz val="16"/>
        <color theme="1"/>
        <rFont val="Arial"/>
        <family val="2"/>
        <charset val="204"/>
      </rPr>
      <t>, на стадии реализации -</t>
    </r>
    <r>
      <rPr>
        <b/>
        <sz val="16"/>
        <color rgb="FF0000FF"/>
        <rFont val="Arial"/>
        <family val="2"/>
        <charset val="204"/>
      </rPr>
      <t>26</t>
    </r>
  </si>
  <si>
    <r>
      <rPr>
        <b/>
        <sz val="16"/>
        <color rgb="FFC00000"/>
        <rFont val="Arial"/>
        <family val="2"/>
        <charset val="204"/>
      </rPr>
      <t>в 2027 г</t>
    </r>
    <r>
      <rPr>
        <sz val="16"/>
        <color theme="1"/>
        <rFont val="Arial"/>
        <family val="2"/>
        <charset val="204"/>
      </rPr>
      <t xml:space="preserve"> - </t>
    </r>
    <r>
      <rPr>
        <b/>
        <sz val="16"/>
        <color theme="1"/>
        <rFont val="Arial"/>
        <family val="2"/>
        <charset val="204"/>
      </rPr>
      <t>11</t>
    </r>
    <r>
      <rPr>
        <sz val="16"/>
        <color theme="1"/>
        <rFont val="Arial"/>
        <family val="2"/>
        <charset val="204"/>
      </rPr>
      <t xml:space="preserve"> проектов на 110 млрд.тенге;</t>
    </r>
  </si>
  <si>
    <t>ВСЕГО</t>
  </si>
  <si>
    <t>места</t>
  </si>
  <si>
    <t>реализ</t>
  </si>
  <si>
    <t>отказ</t>
  </si>
  <si>
    <t>кол-во</t>
  </si>
  <si>
    <t>Годы</t>
  </si>
  <si>
    <r>
      <t xml:space="preserve">ТОО «Оспанова Девелопмент» - </t>
    </r>
    <r>
      <rPr>
        <b/>
        <sz val="13.5"/>
        <color rgb="FF0000FF"/>
        <rFont val="Arial"/>
        <family val="2"/>
        <charset val="204"/>
      </rPr>
      <t>реализован</t>
    </r>
  </si>
  <si>
    <r>
      <t xml:space="preserve">ТОО «Биокарбон» - </t>
    </r>
    <r>
      <rPr>
        <b/>
        <sz val="13.5"/>
        <color rgb="FF0000FF"/>
        <rFont val="Arial"/>
        <family val="2"/>
        <charset val="204"/>
      </rPr>
      <t>реализован</t>
    </r>
  </si>
  <si>
    <t>в т.ч. заемные</t>
  </si>
  <si>
    <t>2023 г.</t>
  </si>
  <si>
    <t>2025 г.</t>
  </si>
  <si>
    <t>Кол-во</t>
  </si>
  <si>
    <t>Реализуемые проекты</t>
  </si>
  <si>
    <t>Район/
Город</t>
  </si>
  <si>
    <t>Отозванные проекты</t>
  </si>
  <si>
    <t>Перечень проектов АПК, прошедших РКС за 2023-2025 годы</t>
  </si>
  <si>
    <t>Всего проектов</t>
  </si>
  <si>
    <t>Сумма</t>
  </si>
  <si>
    <t xml:space="preserve">Всего по РКС </t>
  </si>
  <si>
    <t>100 млн. яиц в год</t>
  </si>
  <si>
    <t>от 5 000-7 000 тонн в год</t>
  </si>
  <si>
    <t>500 млн. литров продукции в год, 
120 млн. единиц упаковки в год</t>
  </si>
  <si>
    <t>Мясокостная мука – 15 000 тонн, 
технический жир – 5 000 тонн</t>
  </si>
  <si>
    <t>10 000 тонн</t>
  </si>
  <si>
    <t>1 000 лошадей</t>
  </si>
  <si>
    <t>15 000 тонн/год</t>
  </si>
  <si>
    <t xml:space="preserve">Переработка куриного помёта – 200 тонн в сутки </t>
  </si>
  <si>
    <t>Тюкованная люцерна 12 000 тонн/год, 
гранулированная люцерна 8 000 тонн в год</t>
  </si>
  <si>
    <t>Балхашский район</t>
  </si>
  <si>
    <t>Енбекшиказахский район</t>
  </si>
  <si>
    <t>Илийский район</t>
  </si>
  <si>
    <t>Карасайский район</t>
  </si>
  <si>
    <t>Жамбылский район</t>
  </si>
  <si>
    <t>Талгарский район</t>
  </si>
  <si>
    <t>Уйгурский район</t>
  </si>
  <si>
    <t>г.Конаев</t>
  </si>
  <si>
    <t>г.Алатау</t>
  </si>
  <si>
    <t>Актуализир. сумма</t>
  </si>
  <si>
    <t>55 тыс.тонн в год</t>
  </si>
  <si>
    <t>Строительство МТФ на 1200 голов</t>
  </si>
  <si>
    <t xml:space="preserve">Мощность проекта и производительность </t>
  </si>
  <si>
    <t>13,5 тыс. тонн в год</t>
  </si>
  <si>
    <t>3 тыс тонн год</t>
  </si>
  <si>
    <t>1000 голов, 
200 тонн мяса в год</t>
  </si>
  <si>
    <t xml:space="preserve">До 559 тонн семян </t>
  </si>
  <si>
    <t>Баранина: 
15 т.тн в год-1 этап;
30 т.тн в год - 2 этап</t>
  </si>
  <si>
    <t>21 тыс. тонн продукта (чипсы Lay's)</t>
  </si>
  <si>
    <t xml:space="preserve">100 тонн в день </t>
  </si>
  <si>
    <t>150,0 тыс тонн в год</t>
  </si>
  <si>
    <t>1 тыс. тонн рыбы в год</t>
  </si>
  <si>
    <t>ФИО руководителя, контакты</t>
  </si>
  <si>
    <t>Усенов Досжан, 87075655767</t>
  </si>
  <si>
    <t>Кошкинов Ержан Абдулинович 
+77015396668, 8 706 407 9137 Ерасыл - сын</t>
  </si>
  <si>
    <t>Разумовский Дмитрий Михайлович +7 705 677 9447  dmitriy.r.kz@icloud.com</t>
  </si>
  <si>
    <t>Маргулан  +7 701 722 2727</t>
  </si>
  <si>
    <t>Василий Филимонов
+49 162 7018421</t>
  </si>
  <si>
    <t>Лань Сяо Янь, 87055302473, Кристина 
8 (706) 410 10 98</t>
  </si>
  <si>
    <t>Директор - Чепис Сергей +7 701 555 22 28</t>
  </si>
  <si>
    <t xml:space="preserve">Плотников Олег Геннадьевич +7 701 722 3319 </t>
  </si>
  <si>
    <t>Строительство Элеватора -комплекса по приемке, очистке, сушке и хранению зерновых и масленичных культур, производству комбинированных кормов</t>
  </si>
  <si>
    <t>Очистка, сушка: 40-60 тонн/час
Хранение в силосах: 30 тыс. тонн	
Мощностью производства кормов 120 тонн/сутки</t>
  </si>
  <si>
    <t>Проектная мощность на 2000 голов, факт более 400 голов</t>
  </si>
  <si>
    <t>Аманкосов Курмангали Жандосович 87021324043 , Рауан
+7 (707) 837 09 11</t>
  </si>
  <si>
    <t>Проект действует. На сегодня задействованы 9 работников. После достижения мощности будет увеличено до 50 раб.мест.</t>
  </si>
  <si>
    <t>Строительство МТФ на 12 000 КРС, дойное стадо 6 000 КРС. Также строительство цехов по переработке молока и выпуску молочной продукции.</t>
  </si>
  <si>
    <t>87012281400 Берик Меирханович</t>
  </si>
  <si>
    <t>Переработка до 70 -80 тысяч тонн фруктов и овощей в год</t>
  </si>
  <si>
    <t>Углерод-кремнистый композит 216 тонн</t>
  </si>
  <si>
    <t>Строительство наружных сетей газоснабжение производственной базы переработки рисовой шелухи в производство древесноугольных брикетов и углерод-кремнистого композита</t>
  </si>
  <si>
    <t>до 27 тыс. тонн в год</t>
  </si>
  <si>
    <t>Организация МТФ на 1 200 голов КРС</t>
  </si>
  <si>
    <t xml:space="preserve">Выращивание в тепличном  комплексе томаты, огурцы, перец, листья салатов, с последующей упаковкой для реализации. Комплекс будет состоять из 46 теплиц площадью каждой по 1 га, цех по упаковке, складские помещения, техничесие помещения.  </t>
  </si>
  <si>
    <t>Расширение мощностей по переработке
 кукурузы с 10 000 до 50 000 тонн в год</t>
  </si>
  <si>
    <t>50 тыс тонн в год</t>
  </si>
  <si>
    <t>Строительство рыбопромышленного комплекса</t>
  </si>
  <si>
    <t>Проект готовится к направлению на ГЭ.
На поливных ЗУ посеяно 250 га люцерны, кукурузы на корма.
Вопрос частичного финансирования рассматривается АО "СПК Конаев". 03.06.2026г. при рассмотрении проект на Комиссии проект был направлен на доработку, так как отсутствовало ПСД и другие документы, разрезающие строительство МТФ на территории города Алатау.</t>
  </si>
  <si>
    <t>Лагуны для хранения и переработки птичьего помета выполнены и забетонированы. Вопрос получения технических условий от АЖК остается нерешенным. Проведена повторная встреча с руководством АЖК, достигнута договоренность о повторной подаче документов на получение ТУ.
Оборудование закуплено и находится на складах без монтажа и ввода в эксплуатацию.
Получение акта ввода объекта в эксплуатацию планируется в 2027 году.</t>
  </si>
  <si>
    <t>Первый этап проекта реализован и введен в эксплуатацию в октябре 2023 года. В настоящее время осуществляется выращивание форели и беррамунди (морского окуня).
От реализации последующих этапов проекта, предусматривавших выращивание карпа, инвестор отказался в связи с экономической нерентабельностью. Согласно Правилам субсидирования инвестиционных вложений, сумма возмещения затрат по первому этапу составила 90 млн тенге, что соответствует лишь 0,85 % от стоимости первого этапа проекта.</t>
  </si>
  <si>
    <t>Руководитель - Ян Цинхай, Уаджитова Амина Абдримовна, 87076408018</t>
  </si>
  <si>
    <t xml:space="preserve"> Руководитель - Sun Jinggang, 87762611499 Дуйсен</t>
  </si>
  <si>
    <t>87025552708 Жуматаев Ержан Ерболатович</t>
  </si>
  <si>
    <t>87781075132 Пасков Иван Степанович</t>
  </si>
  <si>
    <t>87773277919 Айдарбаев Берик Ерикович
8 705 265 8870 Елена (бухг)</t>
  </si>
  <si>
    <t>8 775 224 7474 ЫСҚАҚ ТАЛҒАТ БАТЫРҰЛЫ</t>
  </si>
  <si>
    <t>Бектемисов Максим Сакенович</t>
  </si>
  <si>
    <t>Ахметжанов Рустем Кажиканович, 87775146500</t>
  </si>
  <si>
    <t xml:space="preserve">Руководитель - Ахметов Алмат Сагындык улы, 87777799078,  Рустам Давлетов +7 (777) 779 90 78 </t>
  </si>
  <si>
    <t>Руководитель - Яний Сергей Владимирович, Ауельбек 87017444703</t>
  </si>
  <si>
    <t>87716111117 Ерлан руководитель проекта, Руководитель Кайралапин Казбек +7 701 227 0091</t>
  </si>
  <si>
    <t>ЗУ на 5 лет.
ЦН ЗУ - Прочие земли.</t>
  </si>
  <si>
    <t>ЗУ на 5 лет.
ЦН ЗУ - Пашня орошаемая.</t>
  </si>
  <si>
    <t>ЗУ на 10 лет.
ЦН ЗУ - Пастбища.</t>
  </si>
  <si>
    <t>ЗУ на 5 лет.
ЦН ЗУ - Пастбища.</t>
  </si>
  <si>
    <t>Размещение ИЗ «Шелек».
ЦН ЗУ - Пастбища.</t>
  </si>
  <si>
    <t>ЗУ на 49 лет.
ЦН ЗУ - Пашня.</t>
  </si>
  <si>
    <t>ЗУ на 3 года.
ЦН ЗУ - пашня орошаемая</t>
  </si>
  <si>
    <t>ЗУ на 10 лет.
ЦН ЗУ - пашня богарная</t>
  </si>
  <si>
    <t>ЦН ЗУ - пастбища</t>
  </si>
  <si>
    <t>ЗУ на 49 лет.
ЦН ЗУ - 528 га-орошаемая пашня, 1 984 га- пастбище.</t>
  </si>
  <si>
    <t>ЗУ на 4 года 11 мес.
ЦН ЗУ - 15,0га- пашня орошаемая, 11,5 га - пастбища</t>
  </si>
  <si>
    <t>ЗУ на 49 лет.
ЦН ЗУ - пастбище.</t>
  </si>
  <si>
    <t>Подведение недостающей ИКИ. 
ЦН ЗУ - пастбище.</t>
  </si>
  <si>
    <t xml:space="preserve">ЗУ на 10 лет.
ЦН ЗУ - пастбище.
</t>
  </si>
  <si>
    <t xml:space="preserve">Подведение недостающей ИКИ, ЦН ЗУ - Прочие земли.
</t>
  </si>
  <si>
    <t>Руководитель - Оразалин Галымжан Серикович 87011116911</t>
  </si>
  <si>
    <t>Жолдыбай Есентай руководитель и учредитель, представитель Адильбек Аргинбаев 8 778 358 9621</t>
  </si>
  <si>
    <t>Завершается ограждение ЗУ - 31 га по всему периметру. На период СМР временно подключены э/э, водоснабжения, завершён монтаж временного дорожного покрытия. Ведется СМР складских помещений на 10 тыс кв.м, (ввод 10.2026г.). 
Подведение инженерной и коммунальной инфраструктуры (ИКИ) планируется за счет местного бюджета. Бюджетная заявка будет вынесена на очередное уточнение бюджета. В настоящее время разрабатывается проектно-сметная документация, ориентировочные сроки получения ПСД первая декада июля и получение государственной экспертизы вторая декада сентября,так как ориентировочные сроки гос. экспертизы 45 дней. В связи с чем, окончательная стоимость будет определена после её завершения.</t>
  </si>
  <si>
    <t>ЗУ на 1 год.
ЦН ЗУ - прочие земли</t>
  </si>
  <si>
    <t xml:space="preserve">ЗУ на 3 года. 
ЦН ЗУ - прочие земли </t>
  </si>
  <si>
    <t xml:space="preserve">ЗУ на 3 года. 
ЦН ЗУ - прочие земли  </t>
  </si>
  <si>
    <t>ЦН ЗУ - пастбище</t>
  </si>
  <si>
    <t>Подведение недостающей ИКИ, ЦН ЗУ - пастбище</t>
  </si>
  <si>
    <t>Подведение недостающей инфраструктуры
ЦН ЗУ - прочие земли</t>
  </si>
  <si>
    <t>Ввод объекта по РКС</t>
  </si>
  <si>
    <t>Ввод объекта по факту</t>
  </si>
  <si>
    <t>Рахманов Шавкат Бахтибаевич 87778880877, 87006804511 Орал</t>
  </si>
  <si>
    <t>Руководитель - Мацыгин Дмитрий Вениаминович, 
8 777 229 5000 Маргулан;  Акмарал 8 747 701 87 74</t>
  </si>
  <si>
    <t>1 этап - 2026 г.
2 этап -
2027 г.</t>
  </si>
  <si>
    <t>1 066 тыс тонн в год</t>
  </si>
  <si>
    <t>Проект реализован. Ведутся селекционные работы: из г. Минск завезено 100 голов баранов-производителей породы Иль-де-Франс, сформировано маточное стадо численностью 1 500 голов.
На площади 680 га проводятся работы по переводу земель в категорию орошаемых для внедрения влагосберегающих технологий. Получены технические условия на подключение к электрическим сетям, проектно-сметная документация прошла государственную экспертизу. В настоящее время осуществляется приобретение дождевальных (фрегатных) установок, монтаж которых запланирован на осень текущего года.</t>
  </si>
  <si>
    <t>Введутся работы по подготовке к СМР, произведен закуп лошадей в кол-ве 360 голов на 432 млн тенге. На 5 га планируется строительство кошары, навесов, загонов, остальную землю использовать под пастбище.</t>
  </si>
  <si>
    <t>Строительство I очереди проекта завершено на 98%, акт ввода объекта в эксплуатацию находится на согласовании. Объем инвестиций составил 5,8 млрд тенге.
Завершено строительство основных производственных объектов, включая сушильную печь, силосы, ЛЭП-35, газгольдер, железнодорожный тупик и монтаж технологического оборудования. На завершающей стадии находятся работы по объектам вспомогательной инфраструктуры.
Для повышения эффективности проекта требуется подключение к природному газу, что позволит снизить себестоимость сушки зерновых культур. Также рассматривается расширение железнодорожного тупика путем строительства трех дополнительных веток. Вопрос строительства газопровода от п. Казтай Ултараков прорабатывается с местными исполнительными органами.</t>
  </si>
  <si>
    <t>1 этап 2026 г.
2 этап 2028 г.</t>
  </si>
  <si>
    <t>Руководитель - Ибраев Куандык Аулиханович, 
инвестор - Ян Цинхай, Уаджитова Амина Абдримовна, 87076408018</t>
  </si>
  <si>
    <t>ПСД на государственной экспертизе с 28.04,2026 года, еще не получено, так как срок рассмотрения 1,5 месяца.
Ориентировочный выход с ГЭ 20.06.2026г.
В связи с неактивностью инвестора предлагается вынести на заседание РКС по отзыву ЗУ.</t>
  </si>
  <si>
    <t>В рамках реализации проекта выполняются работы по ограждению территории и проведению земляных работ. Приобретена сельскохозяйственная техника, обеспечено водоснабжение участка. В целях апробации технологии произведен посев риса на пробном участке площадью 50 га.
Основной объем посевных работ запланирован на следующий год после получения финансирования от инвестора.
В текущем году объем инвестиционных вложений составил 78,5 млн тенге.
Реализация проекта осуществляется в соответствии с  бизнес-планом.</t>
  </si>
  <si>
    <t>Оборудование из КНР доставлено. В настоящее время проводятся работы по его монтажу и установке.
Для выполнения пусконаладочных работ ожидается поставка необходимых кабелей и проводов.
Получение акта ввода объекта в эксплуатацию планируется в июле 2026 года. 
Реализация проекта осуществляется в соответствии с  бизнес-планом.</t>
  </si>
  <si>
    <t xml:space="preserve">В связи с несоответствием ранее полученных технических условий по электроснабжению и газоснабжению требованиям проекта проводится перепроектирование линии электропередачи (срок завершения — до 15.06.2026 г.). После получения обновлённых решений проект будет направлен на государственную экспертизу. Финансирование планируется через АО «Банк Развития Казахстана» (БРК). Работы в настоящее время не ведутся.
В связи с неактивностью инвестора предлагается вынести на заседание РКС по отзыву ЗУ. </t>
  </si>
  <si>
    <t>Получено финансирование от АО «СПК Конаев» в размере 1,5 млрд тенге. На стадии завершения строительно-монтажные работы по внутренним сетям водоснабжения. Поставлены 8 дождевальных установок, не введены в эксплуатацию, 3 установки находятся в пути. В текущем году будут установленны 11 дождевальных машин покрывающих 700 га земли, в 2027 году планируется приобретение и установка дождевальных машин покрывающих оставшиеся 1000 га.
Осуществляется поиск инвестора/инвестиций для строительства наружных сетей водоснабжения, проводится расчет окупаемости проекта.</t>
  </si>
  <si>
    <t xml:space="preserve">Работы по проекту в настоящее время не ведутся. Проект реализуется на территории, прилегающей к СЭЗ «Конаев». Руководитель компании находится в КНР и планирует прибыть в конце июня – начале июля текущего года.
В связи с неактивностью инвестора предлагается вынести на заседание РКС по отзыву ЗУ.  </t>
  </si>
  <si>
    <t xml:space="preserve">На СВХ осуществляется таможенное оформление поставленного оборудования (6 экскаваторов) и металлических каркасов для теплиц.
Подготовлены документы на изменение целевого назначения земельного участка под промышленное использование. После завершения процедуры планируется его выкуп.
Реализация проекта затягивается в связи с разногласиями между инвестором и руководителем ТОО, препятствующими проведению проектных работ.
В связи с неактивностью инвестора предлагается вынести на заседание РКС по отзыву ЗУ.  </t>
  </si>
  <si>
    <t>Приобретен земельный участок площадью 576 га, пробурена скважина. Закуплены две дождевальные установки производства КНР, достигнута договоренность о поставке еще трех установок. Получено АПЗ на систему орошения, ведется работа по оформлению лицензии на недропользование. По проекту МТФ разработана ПСД, получено положительное заключение государственной экспертизы.
Приобретены четыре трактора с навесным оборудованием и прицепами, выполнены агротехнические работы, создано 9 рабочих мест. В текущем году планируется перевод 250 га земель на орошаемое земледелие с применением влагосберегающих технологий.
Финансирование проекта планируется через АО «АКК». В связи с отсутствием финансирования строительство МТФ перенесено на 2027 год.
Проект реализуется поэтапно: создание кормовой базы, строительство МТФ с приобретением маточного поголовья КРС, а также строительство перерабатывающих цехов и расширение поголовья.
Объем инвестиций в проект в 2025 году составил 1,2 млрд тенге. Дополнительно в текущем году инвестировано 200 млн тенге.
Реализация проекта осуществляется в соответствии с бизнес-планом.</t>
  </si>
  <si>
    <t>По факту земельный участок был получен в январе текущего года, после чего начались работы по подготовке проектной документации. Ориентировочный срок завершения разработки проекта — конец июля текущего года.
Вместе с тем в ходе отбора и анализа проб воды были получены результаты, свидетельствующие о повышенном содержании солей. Использование такой воды может привести к снижению удоев молока, а также потребует строительства системы водоочистки, что влечет за собой удорожание проекта.
В настоящее время рассматривается вопрос о выделении дополнительного земельного участка площадью 1000 кв. м вблизи Капшагайского водохранилища для обеспечения возможности использования воды из данного источника.
В связи с изложенным сроки завершения подготовки проектной документации могут быть перенесены.</t>
  </si>
  <si>
    <t xml:space="preserve">Проект строительства мясокомбината разработан и готов к реализации, однако его реализация приостановлена до решения вопроса обеспечения объекта канализационной инфраструктурой.
По информации инвестора, ранее был разработан и получен положительный результат ГЭ проекта КОС для земельного участка площадью 70 га, который впоследствии был сокращен до 24 га.
Вопрос строительства канализационной системы до настоящего времени не решен и является основным сдерживающим фактором проекта.
После получения подтверждения о строительстве канализационной инфраструктуры и сроках ее ввода проект будет возобновлен. Финансовые ресурсы для реализации проекта имеются.
В связи с неактивностью инвестора предлагается вынести на заседание РКС по отзыву ЗУ.  </t>
  </si>
  <si>
    <t>Произведена смена целевого назначения земельного участка на промышленное использование, на стадии получения государственного акта.
Имеется частичная инфраструктура: получены технические условия по электроснабжению, подведено освещение, водоснабжение обеспечено через скважину, газоснабжение отсутствует, подъездной путь требует отсыпки.
В связи с планируемой сменой учредителя (вхождение гражданина Турции с соответствующим опытом и инвестициями) и руководителя ТОО в июле текущего года, работы по подаче заявки на АПЗ не проводились.</t>
  </si>
  <si>
    <t>15.06.2026 г. планируется доставка трех дождевальных установок для орошения земельных участков общей площадью 200 га. Проводится работа по выбору поставщика дождевальных установок для организации орошения 1 000 га земель, предназначенных под многолетние культуры.
Объем инвестиций в проект в текущем году составляет 750 млн тенге.
Реализация проекта осуществляется в соответствии с утвержденным бизнес-планом.</t>
  </si>
  <si>
    <t>ИП Сарсембаева Р.Г.</t>
  </si>
  <si>
    <t>ТОО "Сарыбастау - ББ"</t>
  </si>
  <si>
    <t>ТОО "Eco Park Tour"</t>
  </si>
  <si>
    <t>Райымбекский район</t>
  </si>
  <si>
    <t>АО "Каскеленское"</t>
  </si>
  <si>
    <t>ТОО Каргалы Крахмал</t>
  </si>
  <si>
    <t>ТОО Kolzhat Agro</t>
  </si>
  <si>
    <t>ТОО "ПОМОНА"</t>
  </si>
  <si>
    <t>ТОО "Revival of apples"</t>
  </si>
  <si>
    <t>Строительство МТФ на 600 голов КРС</t>
  </si>
  <si>
    <t>8-701 303 5050 Толемисов Махан Кенжегазинович, бухгалтер - 8-701 303 22 88 Кумис Мурзалинова</t>
  </si>
  <si>
    <t>ПСД на стадии разработки, представлен государственный акт на земельный участок</t>
  </si>
  <si>
    <t>Рыбоводство</t>
  </si>
  <si>
    <t>ТОО FRESH FISH KZ</t>
  </si>
  <si>
    <t>Мурат Аманжол, 87756327171</t>
  </si>
  <si>
    <t>1512 тонн рыбы в год</t>
  </si>
  <si>
    <t>Жунисбеков Галыжан</t>
  </si>
  <si>
    <t>ТОО «Научно производственный центр Генофонд»</t>
  </si>
  <si>
    <t>ТОО «Ризык Агро»</t>
  </si>
  <si>
    <t>ТОО «Ак сут LLC»</t>
  </si>
  <si>
    <t>Толемисов Махан</t>
  </si>
  <si>
    <t>Абулгазинов Марлен</t>
  </si>
  <si>
    <t>Сембай Елжас</t>
  </si>
  <si>
    <t>КХ «Айдарбаев»</t>
  </si>
  <si>
    <t>ТОО «ABDI AGRO»</t>
  </si>
  <si>
    <t>ИП «Тұржан Дәулетхан Мәжитұлы»</t>
  </si>
  <si>
    <t>АО «Агропромышленная компания Адал»</t>
  </si>
  <si>
    <t>КХ «Алимжанов»</t>
  </si>
  <si>
    <t>Кегенский район</t>
  </si>
  <si>
    <t>СПК «Талас»</t>
  </si>
  <si>
    <t>СПК «Жетысу»</t>
  </si>
  <si>
    <t>Исагулов Жанат</t>
  </si>
  <si>
    <t>ТОО «Happy Farm»</t>
  </si>
  <si>
    <t>Маметов Марат</t>
  </si>
  <si>
    <t>Район</t>
  </si>
  <si>
    <t xml:space="preserve">ТОО «Молочная Долина», </t>
  </si>
  <si>
    <t xml:space="preserve">ТОО «Zhetysu Koy», 
</t>
  </si>
  <si>
    <t>ТОО «НПЦ Генофонд»</t>
  </si>
  <si>
    <t>Раб. места</t>
  </si>
  <si>
    <t>Вне РКС</t>
  </si>
  <si>
    <t xml:space="preserve">ТОО «KeгeнMяcПpoм» </t>
  </si>
  <si>
    <t xml:space="preserve">Мясокомбинат с предубойным откормочным комплексом </t>
  </si>
  <si>
    <t xml:space="preserve">Современная молочно-товарная ферма </t>
  </si>
  <si>
    <t>Стадия проекта</t>
  </si>
  <si>
    <t>Реализован</t>
  </si>
  <si>
    <t>Реализуемые проекты, прошедшие РКС</t>
  </si>
  <si>
    <t>TOO «Arbo Volt»</t>
  </si>
  <si>
    <t>Строительство питомника с производственной базы</t>
  </si>
  <si>
    <t>16 000 саженцев Paulownia Tomentosa</t>
  </si>
  <si>
    <t>Получен гос акт. Начали разработку плана детальной планировки. Разработку ПДП планируется завершить в августе 2026 года. .</t>
  </si>
  <si>
    <t>нет</t>
  </si>
  <si>
    <t>ТОО «KazGelatin»</t>
  </si>
  <si>
    <t>ТОО «Харвест Агро Холдинг»</t>
  </si>
  <si>
    <t xml:space="preserve">ТОО «Harvesto Logistics» </t>
  </si>
  <si>
    <t>ТОО «Kaz Corn»</t>
  </si>
  <si>
    <t xml:space="preserve">ТОО «K&amp;J AGRO» </t>
  </si>
  <si>
    <t xml:space="preserve">ТОО «LUX Grand Park» </t>
  </si>
  <si>
    <t xml:space="preserve">АО «АЛЕЛЬ АГРО» </t>
  </si>
  <si>
    <t>ТОО «Агрофирма Dinara-Ranch»</t>
  </si>
  <si>
    <t>ТОО «Баканас Байтак Агро»</t>
  </si>
  <si>
    <t>ТОО «QARASAZ MILK»</t>
  </si>
  <si>
    <t xml:space="preserve">Реализуемые проекты, по линии кредитования АПК по опыту СКО </t>
  </si>
  <si>
    <t xml:space="preserve">г. Конаев </t>
  </si>
  <si>
    <t>10 тыс. тонн</t>
  </si>
  <si>
    <t>Строительство завода по производству пищевого желатина</t>
  </si>
  <si>
    <t>Создание агро-индустриального кластера «Harvest» в Уйгурском районе</t>
  </si>
  <si>
    <t>до 50 тыс. тонн кукурузы и 15 тыс. тонн сои в год</t>
  </si>
  <si>
    <t>30.01.2026 года состоялось заседание земельной комиссии, по итогам которого одобрено предоставление ЗУ площадью 3 000 га сроком на 10 лет из запрошенных 10 000 га на 49 лет. 27.03.2026 года проведены общественные слушания, где было одобрено выдача еще 2 000 га.</t>
  </si>
  <si>
    <t>Строительство завода по производству семян гибридов  кукурузы и подработке,  хранению  товарного зерна</t>
  </si>
  <si>
    <t>Ведутся работы по поиску ЗУ для наносной станции</t>
  </si>
  <si>
    <t>Реализуемые проекты, прошедшие РКС в 2026</t>
  </si>
  <si>
    <t>Мурат Амангельдиевич</t>
  </si>
  <si>
    <t>до 108 тыс. тонн хранения с суточной переработкой до 1 200 тонн в сезон.</t>
  </si>
  <si>
    <t>На стадии прохождения земельной комиссии</t>
  </si>
  <si>
    <t>Производственное предприятие по переработке шкур</t>
  </si>
  <si>
    <t>Строительство комплекса по переработке люцерны,
кукурузы и других кормовых сельскохозяйственных
культур</t>
  </si>
  <si>
    <t>Строительство завода по переработке отходов птицеводства (производство кормовых добавок из пера, кишок, крови, падежа)</t>
  </si>
  <si>
    <t>Растениеводство на орошаемых землях для создание кормовой базы КРС</t>
  </si>
  <si>
    <t>Строительство молочно-товарной фермы в Илийском районе Алматинской области</t>
  </si>
  <si>
    <t>Строительство теплицы по выращиванию шампиньонов</t>
  </si>
  <si>
    <t>Освоение залежных земель для возделывания гибридов  кукурузы и родительских форм путем внедрения водосберегающих  технологий</t>
  </si>
  <si>
    <t>4 000 га товарной кукурузы, 1 000 га семеноводство</t>
  </si>
  <si>
    <t>2 тыс. тонн в год</t>
  </si>
  <si>
    <t>Ракыш Темирлан</t>
  </si>
  <si>
    <t>876 000 литров натурального молока в год</t>
  </si>
  <si>
    <t>6 248 т. кормов в год</t>
  </si>
  <si>
    <t>Начаты посевные работы</t>
  </si>
  <si>
    <t xml:space="preserve">1.Линия переработки крови (4.5 т/день)2.Линия переработки кишок (9т/день)3. Линия переработки пера (9т/день) </t>
  </si>
  <si>
    <t xml:space="preserve">Получили выписку от РКС </t>
  </si>
  <si>
    <t>Планируется заказ проектно-сметной документации. Ожидает подведения инфраструктуры на ИЗ «Шелек»</t>
  </si>
  <si>
    <t>Получили выписку РКС</t>
  </si>
  <si>
    <t>Получен государственный акт, однако в связи с некорректно указанным целевым назначением земельного участка документ сдан на корректировку. Начаты земельные работы.</t>
  </si>
  <si>
    <t xml:space="preserve">Переработка шкур КРС и МРС – порядка 10 000 штук в год. </t>
  </si>
  <si>
    <t>На стадии оформления земельного участка</t>
  </si>
  <si>
    <t>1500 тонн картофеля</t>
  </si>
  <si>
    <t>10 тонн мяса в сутки</t>
  </si>
  <si>
    <t xml:space="preserve">В текущем году освоено 169 га из запланированных 200 га. На площади 50 га произведён посев картофеля, на 110 га — ячменя. РКС не проходили. </t>
  </si>
  <si>
    <t xml:space="preserve">Все оборудование на площадке для убоя скота прошло полную проверку. На объект строительства выдан технический паспорт (техпаспорт). </t>
  </si>
  <si>
    <t>Жамбаев Жусип Ахметказиевич 87010813468.</t>
  </si>
  <si>
    <t>Баймолдаев Токтар Аскарович +7 701 311 1151</t>
  </si>
  <si>
    <t>Алиева Дамира Нурболовна +7 777 777 1788</t>
  </si>
  <si>
    <t>З/У</t>
  </si>
  <si>
    <t>Текущее сосотояние:  Проект находится на стадии реализации. Степень готовности – 50 %. Проблемные вопросы: ТОО зарегистрировано в Илийском районе.</t>
  </si>
  <si>
    <t>2017 декабрь</t>
  </si>
  <si>
    <t>1,01 га</t>
  </si>
  <si>
    <t>537 тонн в год</t>
  </si>
  <si>
    <t>Реализованный проект</t>
  </si>
  <si>
    <t>Абдулминов Бахтияр Баратович</t>
  </si>
  <si>
    <t>ТОО "СЭМ и КО"</t>
  </si>
  <si>
    <t>Предприятие мясного животноводства. Приобретение биологических активов в виде племенного КРС, МРС</t>
  </si>
  <si>
    <t>МРС - 5018
КРС - 6189</t>
  </si>
  <si>
    <t>Скот закуплен, предприятие действует, проблемных вопросов нет</t>
  </si>
  <si>
    <t xml:space="preserve">Абуталипова Асель </t>
  </si>
  <si>
    <t>Кредитов АПК (СКО)</t>
  </si>
  <si>
    <t>АО "АзияАгроФуд"</t>
  </si>
  <si>
    <t>Глубокая переработка по переработке сельскохозяйственной продукции. Приобретение оборудования.</t>
  </si>
  <si>
    <t>110 тыс тонн в год</t>
  </si>
  <si>
    <t>Произведена предоплата за изготовление оборудования в размере 60% от суммы контрактов. Срок поставки оборудования по контракту август 2026 года. Начало монтажа приобретенного оборудования запланирована на сентябрь 2026 года.</t>
  </si>
  <si>
    <t>Ашенов Саян</t>
  </si>
  <si>
    <t>Прост и исключенные</t>
  </si>
  <si>
    <t>Реализованные</t>
  </si>
  <si>
    <t>ТОО «Асем калжат»</t>
  </si>
  <si>
    <t>Прима-Кус</t>
  </si>
  <si>
    <t>Всего проектов:</t>
  </si>
  <si>
    <t>Реализуемые</t>
  </si>
  <si>
    <t xml:space="preserve">Строительство птицеводческого комплекса замкнутого цикла по производству и переработке мяса бройлера </t>
  </si>
  <si>
    <t>Расширение</t>
  </si>
  <si>
    <t>ТОО «Қапшагай бидай өнімдері»</t>
  </si>
  <si>
    <t>ТОО «ФрутАрт»</t>
  </si>
  <si>
    <t>ТОО «Абди Агро»</t>
  </si>
  <si>
    <t>кол</t>
  </si>
  <si>
    <t>сумма</t>
  </si>
  <si>
    <t>Собственные, АКК/БРК, Растениевод, СКО</t>
  </si>
  <si>
    <t>Растениевод</t>
  </si>
  <si>
    <t>СКО</t>
  </si>
  <si>
    <t xml:space="preserve">Проект планируется к реализации на территории ИЗ «Шелек». Начало работ по подведению ИКИ ожидается через 2 месяца, завершение — в 2027 году.
Проведены переговоры с инвестором. В настоящее время инвестор находится за границей. 
Представитель инвестора 30.06.2026 г. связался с работниками УКИЗ договорились о выезде 07.07.2026 г. чтоб рассмотреть предложения по новым ЗУ. Но сегодня так и не приехал, сославшись что выехал за границу, как будет в Алматы выйдет на связь.
В связи с неактивностью инвестора предлагается вынести на заседание РКС по отзыву ЗУ.  .  </t>
  </si>
  <si>
    <t>На полученном земельном участке площадью 94 га были проведены подготовительные работы к посевной кампании. Однако посевная не была осуществлена в связи с выявлением факта двойного правообладания на данный участок. 
По состоянию на настоящее время материалы обращения находятся на рассмотрении в Управлении полиции Енбекшиказахского района. По результатам рассмотрения в пределах компетенции органом полиции будет принято соответствующее процессуальное решение в порядке и сроки, установленные законодательством Республики Казахстан.</t>
  </si>
  <si>
    <t xml:space="preserve">Ранее несоответствующее договору оборудование возвращено поставщику. На текущий момент приобретено новое оборудование, которое находится на складе поставщика. 
Поставка на объект и завершение монтажных работ запланированы на август 2026 года. 
</t>
  </si>
  <si>
    <t xml:space="preserve">На площадку реализации проекта поставлена сельскохозяйственная техника, включая разбрасыватели жидкого и твердого навоза, а также кормораздатчики. 
Ранее несоответствующее договору оборудование возвращено поставщику. Новое оборудование приобретено и находится на складе поставщика, его поставка и монтаж запланированы на август 2026 года.
</t>
  </si>
  <si>
    <t>794 тонны в год</t>
  </si>
  <si>
    <t>1 253 тонн в год</t>
  </si>
  <si>
    <t xml:space="preserve">МТФ работает, проблемных вопросов нет
</t>
  </si>
  <si>
    <t>Абдиев Ержан Шубаевич 87015558622</t>
  </si>
  <si>
    <t>Аяпбергенов Бауржан Болатович</t>
  </si>
  <si>
    <t xml:space="preserve">Молдаш Әсел </t>
  </si>
  <si>
    <t>Айдарбаев Ерик Серикович</t>
  </si>
  <si>
    <t>Молочно товарная ферма</t>
  </si>
  <si>
    <t>Строительство молочно товарной фермы</t>
  </si>
  <si>
    <t>Инвестиционные проекты реализуемые по программе развития растениеводства.</t>
  </si>
  <si>
    <t>Строительство и эксплуатация систем влагосберегающих технологий для выращивания кукурузы на зерно</t>
  </si>
  <si>
    <t>Строительство и эксплуатация систем влагосберегающих технологий длч сада по выращиванию яблок и абрикоса</t>
  </si>
  <si>
    <t>Строительство и эксплуатация систем влагосберегающих технологий для выращивания люцерны</t>
  </si>
  <si>
    <t>Строительство и эксплуатация систем влагосберегающих технологий для выращивания картофеля</t>
  </si>
  <si>
    <t>Строительство и эксплуатация систем влагосберегающих технологий для выращивание кукурузы на зерно</t>
  </si>
  <si>
    <t>Расширение молочно товарной фермы</t>
  </si>
  <si>
    <t>Расширение молочно-товарной фермы</t>
  </si>
  <si>
    <t>Строительство и эксплуатация систем влагосберегающих технологий</t>
  </si>
  <si>
    <t>Приобретенное оборудование введено в эксплуатацию, проблемных вопросов нет</t>
  </si>
  <si>
    <t>Абулгазинов Марлен 87011112789</t>
  </si>
  <si>
    <t>930 тонн в год</t>
  </si>
  <si>
    <t>343 тонн в год</t>
  </si>
  <si>
    <t>1800 голов, 7440 тонн в год</t>
  </si>
  <si>
    <t>МТФ работает, проблемных вопросов нет</t>
  </si>
  <si>
    <t>629 голов, 3100 тонн в год</t>
  </si>
  <si>
    <t>2592 голов, 6900 тонн в год</t>
  </si>
  <si>
    <t xml:space="preserve">1249 тонн люцерны с 1490 га </t>
  </si>
  <si>
    <t>Нимилостев Петр Петрович</t>
  </si>
  <si>
    <t>1270 голов, 6200 тонн в год</t>
  </si>
  <si>
    <t>400 голов, 2000 тонн в год</t>
  </si>
  <si>
    <t>612 голов, 2700 тонн в год</t>
  </si>
  <si>
    <t>2371 голов, 11160 тонн в год</t>
  </si>
  <si>
    <t>831 голов, 3500 тонн в год</t>
  </si>
  <si>
    <t>600 голов, 5000 тон в год</t>
  </si>
  <si>
    <t>Завршение строительствв МТФ планируется в до конца июля месяца текущего года, для приобретения  оборудования МТФ, доильного зала, КРС, Конкурсной комиссией утверждено финансирование на 1,4 млрд тенге. Финансирование планируется в текущем месяце.</t>
  </si>
  <si>
    <t>Алимжанов Тілек</t>
  </si>
  <si>
    <t>Смаилов Серик</t>
  </si>
  <si>
    <t>Абдиев Ержан Шубаевич</t>
  </si>
  <si>
    <t>2258 тонн в год</t>
  </si>
  <si>
    <t>408 голов, 2000 тонн в год</t>
  </si>
  <si>
    <t>1125 голов, 4650 тонн в год</t>
  </si>
  <si>
    <t>Ведутся СМР по расширению. МТФ работает, проблемных вопросов нет</t>
  </si>
  <si>
    <t>422 голов, 1375 тонн в год</t>
  </si>
  <si>
    <t>2027 г</t>
  </si>
  <si>
    <t>Заемщику неоднократно разъяснялась необходимость своевременного освоения заемных средств. 17 июля 2025 года заключен договор с ТОО «PANAGRO SERVICE» на приобретение доильно-молочного блока с доильным залом стоимостью 374 000 000 тенге, оплата произведена 21 июля 2025 года.
30 июля 2025 года прокуратурой Алматинской области внесено представление в связи с нецелевым использованием займа и размещением средств на депозитных счетах. В результате проведенной Поверенным (агентом) работы 25 сентября 2025 года СПК «Жетысу» возвратило часть займа в размере 620 102 785 тенге.
По оставшейся сумме займа (374 000 000 тенге) и взысканию штрафа Поверенным (агентом) подан иск в суд. Решением суда первой инстанции от 26 декабря 2025 года с СПК «Жетысу» взысканы сумма займа и штраф в размере 248 525 696 тенге. 17 марта 2026 года апелляционная инстанция отменила данное решение. 2 апреля 2026 года подана кассационная жалоба. Ожидается назначение судебного заседания.</t>
  </si>
  <si>
    <t>Заявление на получение архитектурно-планировочного задания (АПЗ) направлено. Подана заявка в АЖК на ТУ -2 МВ (врменная).
24.04.2026 года получено официальное письмо от АЖК, согласно которому запланированы работы по увеличению мощности на подстанции «Чемолган», к которой будет осуществлено подключение объекта компании.
Осуществляется поиск инвестора/инвестиций.</t>
  </si>
  <si>
    <t xml:space="preserve">ТОО «Прима Құс» — птицефабрика,строительство 3-й этап. Общая потребность в инвестициях составляет 13 500,0 млн тенге, финансирование проекта обеспечено в полном объеме.
На текущий момент строительно-монтажные работы выполнены на 97,1%. Ввод объекта в эксплуатацию запланирован на декабрь 2026 года.
После выхода на проектную мощность объем производства будет увеличен до 36 000 тонн мяса птицы в живом весе в год. </t>
  </si>
  <si>
    <t>Конкурсная комиссия одобрило финансирование по программе кредитование в сфере АПК (по опыту СКО) на приобретение оборудования для глубокой переработки форели и других видов рыб: свежей, мороженной, сушеной и копченой рыбы, а также красной икры.</t>
  </si>
  <si>
    <t xml:space="preserve">Жамбылский район </t>
  </si>
  <si>
    <t>Разведение птицы на мясо, племенной птицы и молодняка</t>
  </si>
  <si>
    <t>БРК и собственные средства</t>
  </si>
  <si>
    <t>100 тыс тонн</t>
  </si>
  <si>
    <t>ТОО «Алматы құс фабрикасы Жетісу», стс-сть 146,3 млрд тенге. Площадь - 5838,4 га. Проблемные вопросы: подведение инфраструктуры. Текущее состояние: ГЭ имеется, ожидается ПСД по инфраструктуре. ПСД по автодорогам и мостам подготовлена. Получено АПЗ и согласован эскизный проект.</t>
  </si>
  <si>
    <t>ТОО «Алматы құс фабрикасы Жетісу»</t>
  </si>
  <si>
    <t xml:space="preserve">Производство тонкой шерсти ТОО «MERGEN HOLDING» </t>
  </si>
  <si>
    <t xml:space="preserve">Строительство производственной базы по переработке шерсти «MERGEN HOLDING» </t>
  </si>
  <si>
    <t>собственные средства</t>
  </si>
  <si>
    <t>12.2026 г.</t>
  </si>
  <si>
    <t>Наличие земельного участка; наличие ПСД (АПЗ, рабочий проект, эскизный проект, заключение); Активно ведутся СМР, выполняется комплекс земляных работ, включая разработку и подготовку грунта. Параллельно осуществляются бетонные работы по устройству основных конструктивных элементов. Ведётся монтаж металлоконструкций в соответствии с утверждённой ПСД</t>
  </si>
  <si>
    <t>ТОО COFCO TRANS Бин 250640019716</t>
  </si>
  <si>
    <t>Элеватор  по производству кормовой муки</t>
  </si>
  <si>
    <t xml:space="preserve">собственные средства </t>
  </si>
  <si>
    <t>293 тыс тонн</t>
  </si>
  <si>
    <t>На сегодняшний день строительно-монтажные работы выполнены на 75 %.
Работы ведутся в соответствии с утвержденным графиком. Завершение проекта планируется в течение ближайших двух месяцев.
В настоящее время на объекте продолжаются основные строительные и организационные мероприятия, направленные на своевременное завершение всех предусмотренных этапов работ.
С учетом текущих темпов реализации проекта, полный ввод объекта в эксплуатацию ожидается до начала уборочной кампании урожая.</t>
  </si>
  <si>
    <t>ТОО "ALATAU GREEN PRODUCTION"</t>
  </si>
  <si>
    <t xml:space="preserve">Строительство мультикультурного тепличного комплекса на 8 гектар </t>
  </si>
  <si>
    <t>БРК</t>
  </si>
  <si>
    <t>Общая стоимость проекта составляет 17,3 млрд тенге. Финансирование осуществляется за счет собственных средств компании и кредита АО «Банк Развития Казахстана». Получены АПЗ и технические условия на подключение к инженерным сетям. Разрешение на строительство мостового перехода через Большой Алматинский канал получено. Проектно-сметная документация находится на завершающей стадии.
Проект предусматривает создание 400 постоянных рабочих мест. Ввод объекта в эксплуатацию планируется до конца III квартала 2026 года, выход на полную проектную мощность — в 2027 году.</t>
  </si>
  <si>
    <t>4 тыс тонн</t>
  </si>
  <si>
    <t>2 тыс тонн</t>
  </si>
  <si>
    <t>Строительство дополнительного корпуса МТФ и нового доильного зала завершено, монтаж оборудования коровника и доильного зала завершено.</t>
  </si>
  <si>
    <t>Строительство МТФ завершено, оборудование доильного зала установлено, ожидается пусконаладка, скот не поставлен, но оплата произведена. В связи с неисполнением обязательств, АО "СПК Конаев" подал исковое заявление о погашении просроченной задолженности.</t>
  </si>
  <si>
    <t xml:space="preserve">СМР не завершен, срок завершения строительства планируется на 10.2026 года, скот и оборудование завезено в полном объеме, монтаж доильного зала завершен, начаты пусконаладачные работы. </t>
  </si>
  <si>
    <t>ТОО «Smart Adam Agro»</t>
  </si>
  <si>
    <t>Выращивание прочих многолетних культур</t>
  </si>
  <si>
    <t>Ибекеев Ержан Сембекулы</t>
  </si>
  <si>
    <t xml:space="preserve">Выращивание и производство кормов 5 тыс. тонн / год </t>
  </si>
  <si>
    <t>Проблемный</t>
  </si>
  <si>
    <t>Проблемные</t>
  </si>
  <si>
    <t>2025-2028 г.</t>
  </si>
  <si>
    <t>ИП «Baitelov»</t>
  </si>
  <si>
    <t xml:space="preserve">Расширение садкового рыбоводного хозяйства по выращиванию  ценных видов рыб с объемом 120 тонн в год </t>
  </si>
  <si>
    <t>Рыбоводное хозяйство расположен на земельном участке площадью 33,5 га. Для выращивания молоди рыбы имеются 5 естественных прудов общей площадью 2326,4 м кв., которые предназначены для выращивания мальков форели до товарной массы. Пруды оборудованы садками общей площадью 7861 м3 оснащены магистральными каналами водоподачи и дренажной системой. Водоснабжение производится из артезианской скважины с температурным режимом 13-16°С. Рыбоводное хозяйство оснащен необходимой инфраструктурой и оборудованием включая склад для хранения кормов площадью 0,5 м2. Малька форели карпа закупают от местных производителей.</t>
  </si>
  <si>
    <t>Командитное товарищество «Great Steppe Heritage»</t>
  </si>
  <si>
    <t xml:space="preserve">Расширение и автоматизация садковой линии
</t>
  </si>
  <si>
    <t xml:space="preserve">собств. ср-ва  400 млн, заемные  1,650 млрд. </t>
  </si>
  <si>
    <t>Договор с ТОО «Мойнакская ГЭС» на 10 лет по аренде водной глади для установки садков подписан. Установлены 12 садков диаметром 22 м. Провел работу по зарыблению в количестве 250 тыс. штук мальками форели средней массой 12 гр. Корма используются импортные – ALLER AQUA. Кроме того, 2025 году планируется расширение и автоматизация садковой линии.</t>
  </si>
  <si>
    <t>ТОО «TogizBulaq»</t>
  </si>
  <si>
    <t>Создание прудового рыбоводного хозяйства по выращиванию  ценных видов рыб с объемом 360 тонн в год</t>
  </si>
  <si>
    <t xml:space="preserve">В мае 2022 года начато строительство рыбоводного комплекса на земельном участке площадью 75 гектаров. Проектно-сметная документация прошла государственную экспертизу. Проведена работа по установке оборудования (бассейны, инкубационные аппараты). Запуск 1 этапа выращивание форели начато в начале 2024 года. Проделано 50% работы.
</t>
  </si>
  <si>
    <t>ТОО "АгроАкваКомплекс"</t>
  </si>
  <si>
    <t>Расширение прудового рыбоводного хозяйства по выращиванию  ценных видов рыб с объемом 279 тонн в год</t>
  </si>
  <si>
    <t>заемные средства</t>
  </si>
  <si>
    <t xml:space="preserve">имеется 7 прудов, планируется увеличить до 20 </t>
  </si>
  <si>
    <t>ТОО " ТехноСнаб 2002"</t>
  </si>
  <si>
    <t xml:space="preserve">Создание УЗВ Рыбопромышленный комплекс по выращиванию форели и осетра </t>
  </si>
  <si>
    <t>Ввод в эксплуатацию в августе 2025 г.</t>
  </si>
  <si>
    <t>ИП Гульмир</t>
  </si>
  <si>
    <t>Создание  УЗВ</t>
  </si>
  <si>
    <t>ИП "Алатау Балық"</t>
  </si>
  <si>
    <t xml:space="preserve">Создание садкового рыбоводного хозяйства </t>
  </si>
  <si>
    <t>ИП "Бақыт"</t>
  </si>
  <si>
    <t>ТОО "Кайнар Балык"</t>
  </si>
  <si>
    <t>Инкуб.цех, 15 садков</t>
  </si>
  <si>
    <t>120 тонн форели в год</t>
  </si>
  <si>
    <t>500 тонн форели в год</t>
  </si>
  <si>
    <t>Байзаков Нурлан диретор 87017557507 Байкен Бекетаевич 87028216346</t>
  </si>
  <si>
    <t>360 тонн форели в год</t>
  </si>
  <si>
    <t>279 тонн карп.форели</t>
  </si>
  <si>
    <t>150-200 форель и осетра</t>
  </si>
  <si>
    <t>80 тонн форели</t>
  </si>
  <si>
    <t>1. На сегодняшний день в рамках проекта по выращиванию форели установлено 6 бассейнов объёмом по 3 тонны каждый, проведено зарыбление рыбопосадочным материалом форели, осуществляется инкубация. На участке имеется пруд, используемый для выращивания рыбы. Ведётся строительство 6 бассейнов под открытым небом ёмкостью по 4 тонны каждый.
2. К хозяйству подведено электроснабжение, функционирует собственная подстанция, обеспечивающая стабильную работу оборудования.
3. Степень готовности проекта составляет около 80% от общего объёма строительно-монтажных работ. Параллельно осуществляется оформление всех необходимых документов и разрешений для полного запуска производства и реализации продукции.
4. Проект реализуется за счёт собственных средств инициатора — индивидуального предпринимателя «Гульмир». На текущий момент инвестировано 250 млн тенге. Для выхода на полную производственную мощность планируется подача заявки на льготный кредит в размере 100 млн тенге под 2,5% годовых. Нужны средства в размере 100 млн. тенге для полного запуска производства</t>
  </si>
  <si>
    <t>г. Алатау</t>
  </si>
  <si>
    <t>500 тонн карповые</t>
  </si>
  <si>
    <t>1. В 2025 году к участку проведено электричество, установлена собственная подстанция и проложена грунтовая дорога.                                                                                                                                                      2. Установлено 4 садка и проведено зарыбление 6 000 шт. рыбопосадочного материала карпа.                                                                                                                                                                                                              3. Хозяйство находится на этапе выращивания с регулярным контролем состояния рыбы, качества воды и режима кормления.                                                                                                                                  4. Ведутся работы по корректировке участка водного стекла, а также оформление и регистрация всех необходимых документов и разрешений.                                                                                        5. До конца 2025 года планируется инвестировать дополнительно 100 млн тг и подать заявку на льготный кредит под 2,5 % на 500 млн тг.                                                                                                 6. Собственник планирует в любом случае реализовать проект до 2030 года; срок выхода на полную мощность зависит от результатов заявки на кредит: в случае положительного решения все 70 садков будут установлены уже в 2026 году. Нужны средства в размере 500 млн. тенге для полного запуска</t>
  </si>
  <si>
    <t>Выращивание карпа и форели в садковом хозяйстве, изготовление садков для выращивания аквакультур. Нужно получить право долгосрочной аренды на земельный участок с прудом № 10, занимают площадь без разрешительных документов</t>
  </si>
  <si>
    <r>
      <t xml:space="preserve">ТОО «Неокарбон» - </t>
    </r>
    <r>
      <rPr>
        <b/>
        <sz val="18"/>
        <color rgb="FF0000FF"/>
        <rFont val="Arial"/>
        <family val="2"/>
        <charset val="204"/>
      </rPr>
      <t xml:space="preserve">реализован,
</t>
    </r>
    <r>
      <rPr>
        <sz val="18"/>
        <rFont val="Arial"/>
        <family val="2"/>
        <charset val="204"/>
      </rPr>
      <t>с.Баканас,ул.Сейфуллина №122А</t>
    </r>
  </si>
  <si>
    <r>
      <t xml:space="preserve">ТОО «Тайда животноводство»,
</t>
    </r>
    <r>
      <rPr>
        <sz val="18"/>
        <rFont val="Arial"/>
        <family val="2"/>
        <charset val="204"/>
      </rPr>
      <t>Бакбактинский с/о</t>
    </r>
  </si>
  <si>
    <r>
      <t xml:space="preserve">ТОО «Баканас рис»,
</t>
    </r>
    <r>
      <rPr>
        <sz val="18"/>
        <rFont val="Arial"/>
        <family val="2"/>
        <charset val="204"/>
      </rPr>
      <t>Берекенский с/о</t>
    </r>
  </si>
  <si>
    <r>
      <t xml:space="preserve">ТОО «Kazakhstan Central Asia Industrial Company., Ltd»,
</t>
    </r>
    <r>
      <rPr>
        <sz val="18"/>
        <rFont val="Arial"/>
        <family val="2"/>
        <charset val="204"/>
      </rPr>
      <t>Балтабайский с/о</t>
    </r>
  </si>
  <si>
    <r>
      <t xml:space="preserve">ТОО «Qazaq Global Food JV»,
</t>
    </r>
    <r>
      <rPr>
        <sz val="18"/>
        <rFont val="Arial"/>
        <family val="2"/>
        <charset val="204"/>
      </rPr>
      <t>Тескенсуский с/о</t>
    </r>
  </si>
  <si>
    <r>
      <t>Строительство завода по переработке фруктов и овощей (</t>
    </r>
    <r>
      <rPr>
        <i/>
        <sz val="18"/>
        <color theme="1"/>
        <rFont val="Arial"/>
        <family val="2"/>
        <charset val="204"/>
      </rPr>
      <t>производству концентратов фруктовых соков, овощных и фруктовых пюре с инфраструктурой хранения сортировки и упаковки фруктов)</t>
    </r>
  </si>
  <si>
    <r>
      <t xml:space="preserve">Строительство завершено, оборудование завезено и установлено.
Акт ввода в эксплуатацию на стадии оформления.
Текущее время проводится работа по поиску поставщиков сырья для переработки.
</t>
    </r>
    <r>
      <rPr>
        <b/>
        <sz val="18"/>
        <color theme="1"/>
        <rFont val="Arial"/>
        <family val="2"/>
        <charset val="204"/>
      </rPr>
      <t>Торжественное открытие завода запланировно на 19.06.2026 г.</t>
    </r>
  </si>
  <si>
    <r>
      <t xml:space="preserve">ТОО «AGROFINANCE», </t>
    </r>
    <r>
      <rPr>
        <sz val="18"/>
        <rFont val="Arial"/>
        <family val="2"/>
        <charset val="204"/>
      </rPr>
      <t>ИЗ «Шелек»</t>
    </r>
  </si>
  <si>
    <r>
      <t xml:space="preserve">TOО «Тепличный агропромышленный комплекс Синтай», </t>
    </r>
    <r>
      <rPr>
        <sz val="18"/>
        <rFont val="Arial"/>
        <family val="2"/>
        <charset val="204"/>
      </rPr>
      <t>Каражотинский с/о</t>
    </r>
  </si>
  <si>
    <r>
      <t xml:space="preserve">ТОО «Батал Агро», </t>
    </r>
    <r>
      <rPr>
        <sz val="18"/>
        <rFont val="Arial"/>
        <family val="2"/>
        <charset val="204"/>
      </rPr>
      <t>Аватский с/о</t>
    </r>
  </si>
  <si>
    <r>
      <t xml:space="preserve">ТОО «Дусан Инжиниринг», </t>
    </r>
    <r>
      <rPr>
        <sz val="18"/>
        <rFont val="Arial"/>
        <family val="2"/>
        <charset val="204"/>
      </rPr>
      <t>Акшиский с/о</t>
    </r>
  </si>
  <si>
    <r>
      <t xml:space="preserve">ТОО «QazEcoDan», </t>
    </r>
    <r>
      <rPr>
        <sz val="18"/>
        <rFont val="Arial"/>
        <family val="2"/>
        <charset val="204"/>
      </rPr>
      <t>Масакский с/о</t>
    </r>
  </si>
  <si>
    <r>
      <t xml:space="preserve">ТОО «Мың жылқы шаруа қожалығы», </t>
    </r>
    <r>
      <rPr>
        <sz val="18"/>
        <rFont val="Arial"/>
        <family val="2"/>
        <charset val="204"/>
      </rPr>
      <t>Масакский с/о</t>
    </r>
    <r>
      <rPr>
        <b/>
        <sz val="18"/>
        <rFont val="Arial"/>
        <family val="2"/>
        <charset val="204"/>
      </rPr>
      <t xml:space="preserve">
</t>
    </r>
    <r>
      <rPr>
        <sz val="18"/>
        <rFont val="Arial"/>
        <family val="2"/>
        <charset val="204"/>
      </rPr>
      <t xml:space="preserve">Саймасай, Каратурык. </t>
    </r>
  </si>
  <si>
    <r>
      <t xml:space="preserve">ТОО «Kasym ASES», </t>
    </r>
    <r>
      <rPr>
        <sz val="18"/>
        <rFont val="Arial"/>
        <family val="2"/>
        <charset val="204"/>
      </rPr>
      <t>Рахатский с/о</t>
    </r>
  </si>
  <si>
    <r>
      <t xml:space="preserve">TOO «DARIA Company», </t>
    </r>
    <r>
      <rPr>
        <sz val="18"/>
        <rFont val="Arial"/>
        <family val="2"/>
        <charset val="204"/>
      </rPr>
      <t>Шолаккаргалинский с/о</t>
    </r>
  </si>
  <si>
    <r>
      <t>ТОО «Кок Тениз К»,</t>
    </r>
    <r>
      <rPr>
        <sz val="18"/>
        <rFont val="Arial"/>
        <family val="2"/>
        <charset val="204"/>
      </rPr>
      <t xml:space="preserve"> Темиржолский с/о</t>
    </r>
  </si>
  <si>
    <r>
      <t xml:space="preserve">ТОО «Компания «Сары Булак», </t>
    </r>
    <r>
      <rPr>
        <sz val="18"/>
        <rFont val="Arial"/>
        <family val="2"/>
        <charset val="204"/>
      </rPr>
      <t>Аксайский с/о, село Аксай уч.1531</t>
    </r>
  </si>
  <si>
    <r>
      <t xml:space="preserve">ТОО «Alfalfa», </t>
    </r>
    <r>
      <rPr>
        <sz val="18"/>
        <rFont val="Arial"/>
        <family val="2"/>
        <charset val="204"/>
      </rPr>
      <t xml:space="preserve"> Аксайский с/о </t>
    </r>
  </si>
  <si>
    <r>
      <t xml:space="preserve">ТОО «Жигалма» (Caspian Beverage Holdings), 
</t>
    </r>
    <r>
      <rPr>
        <sz val="18"/>
        <rFont val="Arial"/>
        <family val="2"/>
        <charset val="204"/>
      </rPr>
      <t>Жамбылский с/о</t>
    </r>
  </si>
  <si>
    <r>
      <t xml:space="preserve">СПК «Племзавод «Алматы» - </t>
    </r>
    <r>
      <rPr>
        <b/>
        <sz val="18"/>
        <color rgb="FF0000FF"/>
        <rFont val="Arial"/>
        <family val="2"/>
        <charset val="204"/>
      </rPr>
      <t>реализован</t>
    </r>
    <r>
      <rPr>
        <b/>
        <sz val="18"/>
        <rFont val="Arial"/>
        <family val="2"/>
        <charset val="204"/>
      </rPr>
      <t xml:space="preserve">, 
</t>
    </r>
    <r>
      <rPr>
        <sz val="18"/>
        <rFont val="Arial"/>
        <family val="2"/>
        <charset val="204"/>
      </rPr>
      <t>участок Малайсары.</t>
    </r>
  </si>
  <si>
    <r>
      <t>ТОО «Rancho Hampshire»,</t>
    </r>
    <r>
      <rPr>
        <sz val="18"/>
        <rFont val="Arial"/>
        <family val="2"/>
        <charset val="204"/>
      </rPr>
      <t xml:space="preserve"> Малодиханский с/о</t>
    </r>
  </si>
  <si>
    <r>
      <t xml:space="preserve">Организация производственной базы сельхозназначения
</t>
    </r>
    <r>
      <rPr>
        <i/>
        <sz val="18"/>
        <color theme="1"/>
        <rFont val="Arial"/>
        <family val="2"/>
        <charset val="204"/>
      </rPr>
      <t xml:space="preserve"> (Разведение английской породы овец Гемпшир и выращивание кукурузы, люцерны и разнотравья)</t>
    </r>
  </si>
  <si>
    <r>
      <t xml:space="preserve">ТОО «Оспанова Девелопмент» - </t>
    </r>
    <r>
      <rPr>
        <b/>
        <sz val="18"/>
        <color rgb="FF0000FF"/>
        <rFont val="Arial"/>
        <family val="2"/>
        <charset val="204"/>
      </rPr>
      <t>реализован.</t>
    </r>
  </si>
  <si>
    <r>
      <t xml:space="preserve">ТОО «AXIS Holding», </t>
    </r>
    <r>
      <rPr>
        <sz val="18"/>
        <rFont val="Arial"/>
        <family val="2"/>
        <charset val="204"/>
      </rPr>
      <t>Шенгельдинский с/о, уч. кв. 254 (уч.364 А)</t>
    </r>
  </si>
  <si>
    <r>
      <t xml:space="preserve">ТОО «Asian International Trading Company», </t>
    </r>
    <r>
      <rPr>
        <sz val="18"/>
        <rFont val="Arial"/>
        <family val="2"/>
        <charset val="204"/>
      </rPr>
      <t>Шенгельдинский с/о, участок Кербулак</t>
    </r>
  </si>
  <si>
    <t>Общ раб места</t>
  </si>
  <si>
    <t>Общ сумма</t>
  </si>
  <si>
    <t>Раб. Места</t>
  </si>
  <si>
    <r>
      <t xml:space="preserve">ТОО «Неокарбон» - </t>
    </r>
    <r>
      <rPr>
        <b/>
        <sz val="12"/>
        <color rgb="FF0000FF"/>
        <rFont val="Arial"/>
        <family val="2"/>
        <charset val="204"/>
      </rPr>
      <t xml:space="preserve">реализован,
</t>
    </r>
    <r>
      <rPr>
        <sz val="12"/>
        <rFont val="Arial"/>
        <family val="2"/>
        <charset val="204"/>
      </rPr>
      <t>с.Баканас,ул.Сейфуллина №122А</t>
    </r>
  </si>
  <si>
    <r>
      <t xml:space="preserve">ТОО «Тайда животноводство»,
</t>
    </r>
    <r>
      <rPr>
        <sz val="12"/>
        <rFont val="Arial"/>
        <family val="2"/>
        <charset val="204"/>
      </rPr>
      <t>Бакбактинский с/о</t>
    </r>
  </si>
  <si>
    <r>
      <t xml:space="preserve">ТОО «Баканас рис»,
</t>
    </r>
    <r>
      <rPr>
        <sz val="12"/>
        <rFont val="Arial"/>
        <family val="2"/>
        <charset val="204"/>
      </rPr>
      <t>Берекенский с/о</t>
    </r>
  </si>
  <si>
    <r>
      <t xml:space="preserve">ТОО «Kazakhstan Central Asia Industrial Company., Ltd»,
</t>
    </r>
    <r>
      <rPr>
        <sz val="12"/>
        <rFont val="Arial"/>
        <family val="2"/>
        <charset val="204"/>
      </rPr>
      <t>Балтабайский с/о</t>
    </r>
  </si>
  <si>
    <r>
      <t xml:space="preserve">Строительство завершено, оборудование завезено и установлено.
Акт ввода в эксплуатацию на стадии оформления.
Текущее время проводится работа по поиску поставщиков сырья для переработки.
</t>
    </r>
    <r>
      <rPr>
        <b/>
        <sz val="12"/>
        <color theme="1"/>
        <rFont val="Arial"/>
        <family val="2"/>
        <charset val="204"/>
      </rPr>
      <t>Торжественное открытие завода запланировно на 19.06.2026 г.</t>
    </r>
  </si>
  <si>
    <r>
      <t xml:space="preserve">ТОО «AGROFINANCE», </t>
    </r>
    <r>
      <rPr>
        <sz val="12"/>
        <rFont val="Arial"/>
        <family val="2"/>
        <charset val="204"/>
      </rPr>
      <t>ИЗ «Шелек»</t>
    </r>
  </si>
  <si>
    <r>
      <t xml:space="preserve">TOО «Тепличный агропромышленный комплекс Синтай», </t>
    </r>
    <r>
      <rPr>
        <sz val="12"/>
        <rFont val="Arial"/>
        <family val="2"/>
        <charset val="204"/>
      </rPr>
      <t>Каражотинский с/о</t>
    </r>
  </si>
  <si>
    <r>
      <t xml:space="preserve">ТОО «Батал Агро», </t>
    </r>
    <r>
      <rPr>
        <sz val="12"/>
        <rFont val="Arial"/>
        <family val="2"/>
        <charset val="204"/>
      </rPr>
      <t>Аватский с/о</t>
    </r>
  </si>
  <si>
    <r>
      <t xml:space="preserve">ТОО «Дусан Инжиниринг», </t>
    </r>
    <r>
      <rPr>
        <sz val="12"/>
        <rFont val="Arial"/>
        <family val="2"/>
        <charset val="204"/>
      </rPr>
      <t>Акшиский с/о</t>
    </r>
  </si>
  <si>
    <r>
      <t xml:space="preserve">ТОО «QazEcoDan», </t>
    </r>
    <r>
      <rPr>
        <sz val="12"/>
        <rFont val="Arial"/>
        <family val="2"/>
        <charset val="204"/>
      </rPr>
      <t>Масакский с/о</t>
    </r>
  </si>
  <si>
    <r>
      <t xml:space="preserve">ТОО «Мың жылқы шаруа қожалығы», </t>
    </r>
    <r>
      <rPr>
        <sz val="12"/>
        <rFont val="Arial"/>
        <family val="2"/>
        <charset val="204"/>
      </rPr>
      <t>Масакский с/о</t>
    </r>
    <r>
      <rPr>
        <b/>
        <sz val="12"/>
        <rFont val="Arial"/>
        <family val="2"/>
        <charset val="204"/>
      </rPr>
      <t xml:space="preserve">
</t>
    </r>
    <r>
      <rPr>
        <sz val="12"/>
        <rFont val="Arial"/>
        <family val="2"/>
        <charset val="204"/>
      </rPr>
      <t xml:space="preserve">Саймасай, Каратурык. </t>
    </r>
  </si>
  <si>
    <r>
      <t xml:space="preserve">ТОО «Kasym ASES», </t>
    </r>
    <r>
      <rPr>
        <sz val="12"/>
        <rFont val="Arial"/>
        <family val="2"/>
        <charset val="204"/>
      </rPr>
      <t>Рахатский с/о</t>
    </r>
  </si>
  <si>
    <r>
      <t xml:space="preserve">TOO «DARIA Company», </t>
    </r>
    <r>
      <rPr>
        <sz val="12"/>
        <rFont val="Arial"/>
        <family val="2"/>
        <charset val="204"/>
      </rPr>
      <t>Шолаккаргалинский с/о</t>
    </r>
  </si>
  <si>
    <r>
      <t>ТОО «Кок Тениз К»,</t>
    </r>
    <r>
      <rPr>
        <sz val="12"/>
        <rFont val="Arial"/>
        <family val="2"/>
        <charset val="204"/>
      </rPr>
      <t xml:space="preserve"> Темиржолский с/о</t>
    </r>
  </si>
  <si>
    <r>
      <t xml:space="preserve">ТОО «Компания «Сары Булак», </t>
    </r>
    <r>
      <rPr>
        <sz val="12"/>
        <rFont val="Arial"/>
        <family val="2"/>
        <charset val="204"/>
      </rPr>
      <t>Аксайский с/о, село Аксай уч.1531</t>
    </r>
  </si>
  <si>
    <r>
      <t xml:space="preserve">ТОО «Alfalfa», </t>
    </r>
    <r>
      <rPr>
        <sz val="12"/>
        <rFont val="Arial"/>
        <family val="2"/>
        <charset val="204"/>
      </rPr>
      <t xml:space="preserve"> Аксайский с/о </t>
    </r>
  </si>
  <si>
    <r>
      <t xml:space="preserve">ТОО «Жигалма» (Caspian Beverage Holdings), 
</t>
    </r>
    <r>
      <rPr>
        <sz val="12"/>
        <rFont val="Arial"/>
        <family val="2"/>
        <charset val="204"/>
      </rPr>
      <t>Жамбылский с/о</t>
    </r>
  </si>
  <si>
    <r>
      <t xml:space="preserve">СПК «Племзавод «Алматы» - </t>
    </r>
    <r>
      <rPr>
        <b/>
        <sz val="12"/>
        <color rgb="FF0000FF"/>
        <rFont val="Arial"/>
        <family val="2"/>
        <charset val="204"/>
      </rPr>
      <t>реализован</t>
    </r>
    <r>
      <rPr>
        <b/>
        <sz val="12"/>
        <rFont val="Arial"/>
        <family val="2"/>
        <charset val="204"/>
      </rPr>
      <t xml:space="preserve">, 
</t>
    </r>
    <r>
      <rPr>
        <sz val="12"/>
        <rFont val="Arial"/>
        <family val="2"/>
        <charset val="204"/>
      </rPr>
      <t>участок Малайсары.</t>
    </r>
  </si>
  <si>
    <r>
      <t>ТОО «Rancho Hampshire»,</t>
    </r>
    <r>
      <rPr>
        <sz val="12"/>
        <rFont val="Arial"/>
        <family val="2"/>
        <charset val="204"/>
      </rPr>
      <t xml:space="preserve"> Малодиханский с/о</t>
    </r>
  </si>
  <si>
    <r>
      <t xml:space="preserve">ТОО «Оспанова Девелопмент» - </t>
    </r>
    <r>
      <rPr>
        <b/>
        <sz val="12"/>
        <color rgb="FF0000FF"/>
        <rFont val="Arial"/>
        <family val="2"/>
        <charset val="204"/>
      </rPr>
      <t>реализован.</t>
    </r>
  </si>
  <si>
    <r>
      <t xml:space="preserve">ТОО «AXIS Holding», </t>
    </r>
    <r>
      <rPr>
        <sz val="12"/>
        <rFont val="Arial"/>
        <family val="2"/>
        <charset val="204"/>
      </rPr>
      <t>Шенгельдинский с/о, уч. кв. 254 (уч.364 А)</t>
    </r>
  </si>
  <si>
    <r>
      <t xml:space="preserve">ТОО «Asian International Trading Company», </t>
    </r>
    <r>
      <rPr>
        <sz val="12"/>
        <rFont val="Arial"/>
        <family val="2"/>
        <charset val="204"/>
      </rPr>
      <t>Шенгельдинский с/о, участок Кербулак</t>
    </r>
  </si>
  <si>
    <t>Реализуемые (прошли РКС)</t>
  </si>
  <si>
    <t>Переработки рисовой шелухи в производство древесноугольных брикетов и углерод-кремнистого композита</t>
  </si>
  <si>
    <t>Инкуб.цех в процессе строительсва, 15 садков уставлены, планирует расширить до 50 садков</t>
  </si>
  <si>
    <t>1. В 2025 году к участку проведено электричество, установлена собственная подстанция и проложена грунтовая дорога. 
2. Установлено 4 садка и проведено зарыбление 6 000 шт. рыбопосадочного материала карпа.
3. Хозяйство находится на этапе выращивания с регулярным контролем состояния рыбы, качества воды и режима кормления. 
4. Ведутся работы по корректировке участка водного стекла, а также оформление и регистрация всех необходимых документов и разрешений.
5. До конца 2025 года планируется инвестировать дополнительно 100 млн тг и подать заявку на льготный кредит под 2,5 % на 500 млн тг.
6. Собственник планирует в любом случае реализовать проект до 2030 года; срок выхода на полную мощность зависит от результатов заявки на кредит: в случае положительного решения все 70 садков будут установлены уже в 2026 году. Нужны средства в размере 500 млн. тенге для полного запуска</t>
  </si>
  <si>
    <t>Выращивание карпа и форели в садковом хозяйстве</t>
  </si>
  <si>
    <t>Строительство завода по переработке фруктов и овощей</t>
  </si>
  <si>
    <t>Ранее несоответствующее договору оборудование возвращено поставщику. На текущий момент приобретено новое оборудование, которое находится на складе поставщика. 
Поставка на объект и завершение монтажных работ запланированы на август 2026 года. 
Приобретается: Дождевальная машина фронтального типа 2 шт и дождевальная машина кругового действия - 8 шт.</t>
  </si>
  <si>
    <t>На площадку реализации проекта поставлена сельскохозяйственная техника, включая разбрасыватели жидкого и твердого навоза, а также кормораздатчики. 
Ранее несоответствующее договору оборудование возвращено поставщику. Новое оборудование приобретено и находится на складе поставщика, его поставка и монтаж запланированы на август 2026 года.
Приобретается: Дождевальная машина фронтального типа 2 шт и дождевальная машина кругового действия - 8 шт.</t>
  </si>
  <si>
    <t>Приобретенное оборудование введено в эксплуатацию, проблемных вопросов нет.
Приобретено: Дождевальные машины кругового типа - 9шт.так же система капельного орошения на 180 га.</t>
  </si>
  <si>
    <t>Приобретенное оборудование капельного орошения введено в эксплуатацию, сельхоз техника (кормоуборочные комбайны 2шт) доставлено на место реализации проекта, проблемных вопросов нет</t>
  </si>
  <si>
    <t>5882 (на 86 га ставится капельное орошение)</t>
  </si>
  <si>
    <t>416 (на 160 га ставится капельное орошение)</t>
  </si>
  <si>
    <t>на 180 га ставится капельное орошение</t>
  </si>
  <si>
    <t>1490 (на 297 га ставяться дождевальные системы)</t>
  </si>
  <si>
    <t>200 (на 150 га установлены дождевальные системы)</t>
  </si>
  <si>
    <t xml:space="preserve">Приобретены дождевальные машины в кол-ве 5 шт, система мобильного капельного орошения 2 шт., оборудование  введено в эксплуатацию, проблемных вопросов нет.
</t>
  </si>
  <si>
    <t xml:space="preserve">В текущем году освоено 169 га из запланированных 200 га. На площади 50 га произведён посев картофеля, на 110 га — ячменя. РКС не проходили. 
Приобретены 2 дождевальные системы кругового действия.  </t>
  </si>
  <si>
    <r>
      <t xml:space="preserve">ТОО "Eco Park Tour"  - </t>
    </r>
    <r>
      <rPr>
        <b/>
        <sz val="12"/>
        <color rgb="FF0000FF"/>
        <rFont val="Arial"/>
        <family val="2"/>
        <charset val="204"/>
      </rPr>
      <t>реализован</t>
    </r>
  </si>
  <si>
    <r>
      <t xml:space="preserve">ТОО Kolzhat Agro - </t>
    </r>
    <r>
      <rPr>
        <b/>
        <sz val="12"/>
        <color rgb="FF0000FF"/>
        <rFont val="Arial"/>
        <family val="2"/>
        <charset val="204"/>
      </rPr>
      <t>реализован</t>
    </r>
  </si>
  <si>
    <r>
      <t xml:space="preserve">ТОО "СЭМ и КО" </t>
    </r>
    <r>
      <rPr>
        <b/>
        <sz val="12"/>
        <color rgb="FF0000FF"/>
        <rFont val="Arial"/>
        <family val="2"/>
        <charset val="204"/>
      </rPr>
      <t>- реализован</t>
    </r>
  </si>
  <si>
    <r>
      <t xml:space="preserve">ТОО «Qazaq Global Food JV»,
</t>
    </r>
    <r>
      <rPr>
        <sz val="12"/>
        <rFont val="Arial"/>
        <family val="2"/>
        <charset val="204"/>
      </rPr>
      <t xml:space="preserve">Тескенсуский с/о  </t>
    </r>
    <r>
      <rPr>
        <b/>
        <sz val="12"/>
        <color rgb="FF0000FF"/>
        <rFont val="Arial"/>
        <family val="2"/>
        <charset val="204"/>
      </rPr>
      <t>- реализован</t>
    </r>
  </si>
  <si>
    <r>
      <t xml:space="preserve">КХ «Айдарбаев» </t>
    </r>
    <r>
      <rPr>
        <b/>
        <sz val="12"/>
        <color rgb="FF0000FF"/>
        <rFont val="Arial"/>
        <family val="2"/>
        <charset val="204"/>
      </rPr>
      <t>- реализован</t>
    </r>
  </si>
  <si>
    <r>
      <t xml:space="preserve">ТОО «ABDI AGRO» -- </t>
    </r>
    <r>
      <rPr>
        <b/>
        <sz val="12"/>
        <color rgb="FF0000FF"/>
        <rFont val="Arial"/>
        <family val="2"/>
        <charset val="204"/>
      </rPr>
      <t>реализован</t>
    </r>
  </si>
  <si>
    <r>
      <t xml:space="preserve">АО «Агропромышленная компания Адал» </t>
    </r>
    <r>
      <rPr>
        <b/>
        <sz val="12"/>
        <color rgb="FF0000FF"/>
        <rFont val="Arial"/>
        <family val="2"/>
        <charset val="204"/>
      </rPr>
      <t>- реализован</t>
    </r>
  </si>
  <si>
    <r>
      <t>КХ «Алимжанов» -</t>
    </r>
    <r>
      <rPr>
        <b/>
        <sz val="12"/>
        <color rgb="FF0000FF"/>
        <rFont val="Arial"/>
        <family val="2"/>
        <charset val="204"/>
      </rPr>
      <t xml:space="preserve"> реализован</t>
    </r>
  </si>
  <si>
    <r>
      <t xml:space="preserve">ТОО «Абди Агро» </t>
    </r>
    <r>
      <rPr>
        <b/>
        <sz val="12"/>
        <color rgb="FF0000FF"/>
        <rFont val="Arial"/>
        <family val="2"/>
        <charset val="204"/>
      </rPr>
      <t>- реализован</t>
    </r>
    <r>
      <rPr>
        <b/>
        <sz val="12"/>
        <color rgb="FF1A1A1A"/>
        <rFont val="Arial"/>
        <family val="2"/>
        <charset val="204"/>
      </rPr>
      <t xml:space="preserve"> </t>
    </r>
  </si>
  <si>
    <r>
      <t xml:space="preserve">АО "Каскеленское" </t>
    </r>
    <r>
      <rPr>
        <b/>
        <sz val="12"/>
        <color rgb="FF0000FF"/>
        <rFont val="Arial"/>
        <family val="2"/>
        <charset val="204"/>
      </rPr>
      <t xml:space="preserve">- реализован </t>
    </r>
  </si>
  <si>
    <r>
      <t xml:space="preserve">ИП Сарсембаева Р.Г. - </t>
    </r>
    <r>
      <rPr>
        <b/>
        <sz val="12"/>
        <color rgb="FF0000FF"/>
        <rFont val="Arial"/>
        <family val="2"/>
        <charset val="204"/>
      </rPr>
      <t xml:space="preserve">реализован </t>
    </r>
  </si>
  <si>
    <r>
      <t xml:space="preserve">ТОО Каргалы Крахмал - </t>
    </r>
    <r>
      <rPr>
        <b/>
        <sz val="12"/>
        <color rgb="FF0000FF"/>
        <rFont val="Arial"/>
        <family val="2"/>
        <charset val="204"/>
      </rPr>
      <t xml:space="preserve">реализован </t>
    </r>
  </si>
  <si>
    <r>
      <t xml:space="preserve">ТОО «Научно производственный центр Генофонд» - </t>
    </r>
    <r>
      <rPr>
        <b/>
        <sz val="12"/>
        <color rgb="FF0000FF"/>
        <rFont val="Arial"/>
        <family val="2"/>
        <charset val="204"/>
      </rPr>
      <t xml:space="preserve">реализован </t>
    </r>
  </si>
  <si>
    <r>
      <t xml:space="preserve">ТОО «Ризык Агро» - </t>
    </r>
    <r>
      <rPr>
        <b/>
        <sz val="12"/>
        <color rgb="FF0000FF"/>
        <rFont val="Arial"/>
        <family val="2"/>
        <charset val="204"/>
      </rPr>
      <t xml:space="preserve">реализован </t>
    </r>
  </si>
  <si>
    <r>
      <t xml:space="preserve">ТОО «Ак сут LLC» - </t>
    </r>
    <r>
      <rPr>
        <b/>
        <sz val="12"/>
        <color rgb="FF0000FF"/>
        <rFont val="Arial"/>
        <family val="2"/>
        <charset val="204"/>
      </rPr>
      <t xml:space="preserve">реализован </t>
    </r>
  </si>
  <si>
    <r>
      <t xml:space="preserve">ТОО «Байсерке Агро» - </t>
    </r>
    <r>
      <rPr>
        <b/>
        <sz val="12"/>
        <color rgb="FF0000FF"/>
        <rFont val="Arial"/>
        <family val="2"/>
        <charset val="204"/>
      </rPr>
      <t xml:space="preserve">реализован </t>
    </r>
  </si>
  <si>
    <r>
      <t xml:space="preserve">ТОО "Сарыбастау - ББ" - </t>
    </r>
    <r>
      <rPr>
        <b/>
        <sz val="12"/>
        <color rgb="FF0000FF"/>
        <rFont val="Arial"/>
        <family val="2"/>
        <charset val="204"/>
      </rPr>
      <t xml:space="preserve">реализован </t>
    </r>
  </si>
  <si>
    <r>
      <t xml:space="preserve">СПК «Талас» - </t>
    </r>
    <r>
      <rPr>
        <b/>
        <sz val="12"/>
        <color rgb="FF0000FF"/>
        <rFont val="Arial"/>
        <family val="2"/>
        <charset val="204"/>
      </rPr>
      <t xml:space="preserve">реализован </t>
    </r>
  </si>
  <si>
    <t xml:space="preserve">2026 г. </t>
  </si>
  <si>
    <t xml:space="preserve">2027 г. </t>
  </si>
  <si>
    <t>Конкурсная комиссия одобрило финансирование по программе кредитование в сфере АПК (по опыту СКО) на приобретение оборудования для модернизации и расширение действующего производства в сумме 1,8 млрд.тенге.</t>
  </si>
  <si>
    <t>Простаивающий</t>
  </si>
  <si>
    <t>долгота</t>
  </si>
  <si>
    <t>широта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</si>
</sst>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0"/>
  </numFmts>
  <fonts count="67" x14ac:knownFonts="1">
    <font>
      <sz val="11"/>
      <color theme="1"/>
      <name val="Calibri"/>
      <family val="2"/>
      <charset val="204"/>
      <scheme val="minor"/>
    </font>
    <font>
      <sz val="11"/>
      <color theme="1"/>
      <name val="Calibri"/>
      <family val="2"/>
      <charset val="204"/>
      <scheme val="minor"/>
    </font>
    <font>
      <b/>
      <sz val="14"/>
      <color theme="1"/>
      <name val="Arial"/>
      <family val="2"/>
      <charset val="204"/>
    </font>
    <font>
      <sz val="11"/>
      <color theme="1"/>
      <name val="Calibri"/>
      <family val="2"/>
      <scheme val="minor"/>
    </font>
    <font>
      <sz val="14"/>
      <name val="Arial"/>
      <family val="2"/>
      <charset val="204"/>
    </font>
    <font>
      <sz val="14"/>
      <color theme="1"/>
      <name val="Arial"/>
      <family val="2"/>
      <charset val="204"/>
    </font>
    <font>
      <sz val="11"/>
      <color theme="1"/>
      <name val="Arial"/>
      <family val="2"/>
      <charset val="204"/>
    </font>
    <font>
      <sz val="12"/>
      <color theme="1"/>
      <name val="Arial"/>
      <family val="2"/>
      <charset val="204"/>
    </font>
    <font>
      <b/>
      <sz val="18"/>
      <color theme="1"/>
      <name val="Arial"/>
      <family val="2"/>
      <charset val="204"/>
    </font>
    <font>
      <b/>
      <sz val="18"/>
      <name val="Arial"/>
      <family val="2"/>
      <charset val="204"/>
    </font>
    <font>
      <b/>
      <sz val="16"/>
      <name val="Arial"/>
      <family val="2"/>
      <charset val="204"/>
    </font>
    <font>
      <b/>
      <sz val="16"/>
      <color rgb="FF0000FF"/>
      <name val="Arial"/>
      <family val="2"/>
      <charset val="204"/>
    </font>
    <font>
      <b/>
      <sz val="11"/>
      <color theme="1"/>
      <name val="Arial"/>
      <family val="2"/>
      <charset val="204"/>
    </font>
    <font>
      <b/>
      <sz val="14"/>
      <name val="Arial"/>
      <family val="2"/>
      <charset val="204"/>
    </font>
    <font>
      <b/>
      <sz val="13.5"/>
      <color theme="1"/>
      <name val="Arial"/>
      <family val="2"/>
      <charset val="204"/>
    </font>
    <font>
      <b/>
      <sz val="13.5"/>
      <color rgb="FF0000FF"/>
      <name val="Arial"/>
      <family val="2"/>
      <charset val="204"/>
    </font>
    <font>
      <b/>
      <sz val="13.5"/>
      <name val="Arial"/>
      <family val="2"/>
      <charset val="204"/>
    </font>
    <font>
      <sz val="13.5"/>
      <color theme="1"/>
      <name val="Arial"/>
      <family val="2"/>
      <charset val="204"/>
    </font>
    <font>
      <sz val="13.5"/>
      <name val="Arial"/>
      <family val="2"/>
      <charset val="204"/>
    </font>
    <font>
      <sz val="8"/>
      <name val="Calibri"/>
      <family val="2"/>
      <charset val="204"/>
      <scheme val="minor"/>
    </font>
    <font>
      <b/>
      <sz val="16"/>
      <color theme="1"/>
      <name val="Arial"/>
      <family val="2"/>
      <charset val="204"/>
    </font>
    <font>
      <sz val="16"/>
      <color theme="1"/>
      <name val="Arial"/>
      <family val="2"/>
      <charset val="204"/>
    </font>
    <font>
      <b/>
      <u/>
      <sz val="16"/>
      <color theme="1"/>
      <name val="Arial"/>
      <family val="2"/>
      <charset val="204"/>
    </font>
    <font>
      <b/>
      <sz val="16"/>
      <color rgb="FFC00000"/>
      <name val="Arial"/>
      <family val="2"/>
      <charset val="204"/>
    </font>
    <font>
      <b/>
      <sz val="22"/>
      <color theme="1"/>
      <name val="Arial"/>
      <family val="2"/>
      <charset val="204"/>
    </font>
    <font>
      <i/>
      <sz val="12"/>
      <color theme="1"/>
      <name val="Arial"/>
      <family val="2"/>
      <charset val="204"/>
    </font>
    <font>
      <b/>
      <sz val="12"/>
      <color theme="1"/>
      <name val="Arial"/>
      <family val="2"/>
      <charset val="204"/>
    </font>
    <font>
      <b/>
      <i/>
      <sz val="11"/>
      <color theme="1"/>
      <name val="Arial"/>
      <family val="2"/>
      <charset val="204"/>
    </font>
    <font>
      <i/>
      <sz val="11"/>
      <name val="Arial"/>
      <family val="2"/>
      <charset val="204"/>
    </font>
    <font>
      <b/>
      <i/>
      <sz val="14"/>
      <name val="Arial"/>
      <family val="2"/>
      <charset val="204"/>
    </font>
    <font>
      <i/>
      <sz val="12"/>
      <name val="Arial"/>
      <family val="2"/>
      <charset val="204"/>
    </font>
    <font>
      <i/>
      <sz val="11"/>
      <color theme="1"/>
      <name val="Arial"/>
      <family val="2"/>
      <charset val="204"/>
    </font>
    <font>
      <i/>
      <sz val="14"/>
      <name val="Arial"/>
      <family val="2"/>
      <charset val="204"/>
    </font>
    <font>
      <i/>
      <sz val="14"/>
      <color theme="1"/>
      <name val="Arial"/>
      <family val="2"/>
      <charset val="204"/>
    </font>
    <font>
      <sz val="14"/>
      <color rgb="FFFF0000"/>
      <name val="Calibri"/>
      <family val="2"/>
      <charset val="204"/>
      <scheme val="minor"/>
    </font>
    <font>
      <sz val="14"/>
      <color theme="1"/>
      <name val="Calibri"/>
      <family val="2"/>
      <charset val="204"/>
      <scheme val="minor"/>
    </font>
    <font>
      <sz val="18"/>
      <color rgb="FFFF0000"/>
      <name val="Calibri"/>
      <family val="2"/>
      <charset val="204"/>
      <scheme val="minor"/>
    </font>
    <font>
      <sz val="18"/>
      <color theme="1"/>
      <name val="Times New Roman"/>
      <family val="1"/>
      <charset val="204"/>
    </font>
    <font>
      <sz val="18"/>
      <color theme="1"/>
      <name val="Calibri"/>
      <family val="2"/>
      <charset val="204"/>
      <scheme val="minor"/>
    </font>
    <font>
      <sz val="18"/>
      <color theme="1"/>
      <name val="Arial"/>
      <family val="2"/>
      <charset val="204"/>
    </font>
    <font>
      <i/>
      <sz val="18"/>
      <color theme="1"/>
      <name val="Arial"/>
      <family val="2"/>
      <charset val="204"/>
    </font>
    <font>
      <b/>
      <i/>
      <sz val="18"/>
      <color theme="1"/>
      <name val="Arial"/>
      <family val="2"/>
      <charset val="204"/>
    </font>
    <font>
      <sz val="18"/>
      <name val="Arial"/>
      <family val="2"/>
      <charset val="204"/>
    </font>
    <font>
      <b/>
      <sz val="18"/>
      <color rgb="FF0000FF"/>
      <name val="Arial"/>
      <family val="2"/>
      <charset val="204"/>
    </font>
    <font>
      <i/>
      <sz val="18"/>
      <name val="Arial"/>
      <family val="2"/>
      <charset val="204"/>
    </font>
    <font>
      <sz val="18"/>
      <color rgb="FF000000"/>
      <name val="Arial"/>
      <family val="2"/>
      <charset val="204"/>
    </font>
    <font>
      <b/>
      <sz val="18"/>
      <color rgb="FF1A1A1A"/>
      <name val="Arial"/>
      <family val="2"/>
      <charset val="204"/>
    </font>
    <font>
      <sz val="18"/>
      <color rgb="FF000000"/>
      <name val="Verdana"/>
      <family val="2"/>
      <charset val="204"/>
    </font>
    <font>
      <b/>
      <sz val="18"/>
      <color rgb="FF1A1A1A"/>
      <name val="Calibri"/>
      <family val="2"/>
      <charset val="204"/>
      <scheme val="minor"/>
    </font>
    <font>
      <sz val="18"/>
      <name val="Times New Roman"/>
      <family val="1"/>
      <charset val="204"/>
    </font>
    <font>
      <sz val="18"/>
      <name val="Calibri"/>
      <family val="2"/>
      <charset val="204"/>
      <scheme val="minor"/>
    </font>
    <font>
      <b/>
      <sz val="18"/>
      <name val="Times New Roman"/>
      <family val="1"/>
      <charset val="204"/>
    </font>
    <font>
      <b/>
      <sz val="18"/>
      <color rgb="FF000000"/>
      <name val="Times New Roman"/>
      <family val="1"/>
      <charset val="204"/>
    </font>
    <font>
      <b/>
      <sz val="18"/>
      <color theme="1"/>
      <name val="Calibri"/>
      <family val="2"/>
      <charset val="204"/>
      <scheme val="minor"/>
    </font>
    <font>
      <b/>
      <i/>
      <sz val="12"/>
      <color theme="1"/>
      <name val="Arial"/>
      <family val="2"/>
      <charset val="204"/>
    </font>
    <font>
      <sz val="12"/>
      <name val="Arial"/>
      <family val="2"/>
      <charset val="204"/>
    </font>
    <font>
      <b/>
      <sz val="12"/>
      <color rgb="FF0000FF"/>
      <name val="Arial"/>
      <family val="2"/>
      <charset val="204"/>
    </font>
    <font>
      <b/>
      <sz val="12"/>
      <name val="Arial"/>
      <family val="2"/>
      <charset val="204"/>
    </font>
    <font>
      <sz val="12"/>
      <color rgb="FF000000"/>
      <name val="Arial"/>
      <family val="2"/>
      <charset val="204"/>
    </font>
    <font>
      <sz val="12"/>
      <color theme="1"/>
      <name val="Times New Roman"/>
      <family val="1"/>
      <charset val="204"/>
    </font>
    <font>
      <b/>
      <sz val="12"/>
      <color rgb="FF1A1A1A"/>
      <name val="Arial"/>
      <family val="2"/>
      <charset val="204"/>
    </font>
    <font>
      <sz val="12"/>
      <color rgb="FF000000"/>
      <name val="Verdana"/>
      <family val="2"/>
      <charset val="204"/>
    </font>
    <font>
      <b/>
      <sz val="12"/>
      <color rgb="FF1A1A1A"/>
      <name val="Calibri"/>
      <family val="2"/>
      <charset val="204"/>
      <scheme val="minor"/>
    </font>
    <font>
      <sz val="12"/>
      <name val="Times New Roman"/>
      <family val="1"/>
      <charset val="204"/>
    </font>
    <font>
      <sz val="12"/>
      <name val="Calibri"/>
      <family val="2"/>
      <charset val="204"/>
      <scheme val="minor"/>
    </font>
    <font>
      <sz val="12"/>
      <color rgb="FFFF0000"/>
      <name val="Calibri"/>
      <family val="2"/>
      <charset val="204"/>
      <scheme val="minor"/>
    </font>
    <font>
      <sz val="12"/>
      <color theme="1"/>
      <name val="Calibri"/>
      <family val="2"/>
      <charset val="204"/>
      <scheme val="minor"/>
    </font>
  </fonts>
  <fills count="1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99FF"/>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9"/>
        <bgColor indexed="64"/>
      </patternFill>
    </fill>
    <fill>
      <patternFill patternType="solid">
        <fgColor theme="7"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xf numFmtId="0" fontId="1" fillId="0" borderId="0"/>
    <xf numFmtId="0" fontId="3" fillId="0" borderId="0"/>
    <xf numFmtId="43" fontId="1" fillId="0" borderId="0" applyFont="0" applyFill="0" applyBorder="0" applyAlignment="0" applyProtection="0"/>
  </cellStyleXfs>
  <cellXfs count="493">
    <xf numFmtId="0" fontId="0" fillId="0" borderId="0" xfId="0"/>
    <xf numFmtId="164" fontId="5" fillId="0" borderId="1" xfId="1" applyNumberFormat="1" applyFont="1" applyBorder="1" applyAlignment="1">
      <alignment horizontal="center" vertical="center" wrapText="1"/>
    </xf>
    <xf numFmtId="0" fontId="6" fillId="0" borderId="0" xfId="0" applyFont="1"/>
    <xf numFmtId="0" fontId="12" fillId="0" borderId="0" xfId="0" applyFont="1"/>
    <xf numFmtId="0" fontId="14" fillId="0" borderId="1" xfId="0" applyFont="1" applyBorder="1" applyAlignment="1">
      <alignment horizontal="center" vertical="center" wrapText="1"/>
    </xf>
    <xf numFmtId="0" fontId="16" fillId="2" borderId="1" xfId="1"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xf>
    <xf numFmtId="14"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3" applyFont="1" applyBorder="1" applyAlignment="1">
      <alignment horizontal="center" vertical="center" wrapText="1"/>
    </xf>
    <xf numFmtId="164" fontId="18" fillId="0" borderId="1" xfId="3" applyNumberFormat="1" applyFont="1" applyBorder="1" applyAlignment="1">
      <alignment horizontal="center" vertical="center" wrapText="1"/>
    </xf>
    <xf numFmtId="165" fontId="18" fillId="0" borderId="1" xfId="3" applyNumberFormat="1" applyFont="1" applyBorder="1" applyAlignment="1">
      <alignment horizontal="center" vertical="center" wrapText="1"/>
    </xf>
    <xf numFmtId="0" fontId="17" fillId="0" borderId="1" xfId="1" applyFont="1" applyBorder="1" applyAlignment="1">
      <alignment horizontal="center" vertical="center" wrapText="1"/>
    </xf>
    <xf numFmtId="164" fontId="17" fillId="0" borderId="1" xfId="1" applyNumberFormat="1" applyFont="1" applyBorder="1" applyAlignment="1">
      <alignment horizontal="center" vertical="center" wrapText="1"/>
    </xf>
    <xf numFmtId="3" fontId="17" fillId="0" borderId="1" xfId="1" applyNumberFormat="1" applyFont="1" applyBorder="1" applyAlignment="1">
      <alignment horizontal="center" vertical="center" wrapText="1"/>
    </xf>
    <xf numFmtId="4" fontId="18" fillId="0" borderId="1" xfId="3" applyNumberFormat="1" applyFont="1" applyBorder="1" applyAlignment="1">
      <alignment horizontal="center" vertical="center" wrapText="1"/>
    </xf>
    <xf numFmtId="14" fontId="18"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2" borderId="1" xfId="3" applyFont="1" applyFill="1" applyBorder="1" applyAlignment="1">
      <alignment horizontal="center" vertical="center" wrapText="1"/>
    </xf>
    <xf numFmtId="164" fontId="18" fillId="2" borderId="1" xfId="3" applyNumberFormat="1" applyFont="1" applyFill="1" applyBorder="1" applyAlignment="1">
      <alignment horizontal="center" vertical="center" wrapText="1"/>
    </xf>
    <xf numFmtId="3" fontId="18" fillId="0" borderId="1" xfId="3" applyNumberFormat="1" applyFont="1" applyBorder="1" applyAlignment="1">
      <alignment horizontal="center" vertical="center" wrapText="1"/>
    </xf>
    <xf numFmtId="14" fontId="18" fillId="2" borderId="1" xfId="1" applyNumberFormat="1" applyFont="1" applyFill="1" applyBorder="1" applyAlignment="1">
      <alignment horizontal="center" vertical="center" wrapText="1"/>
    </xf>
    <xf numFmtId="14" fontId="18" fillId="0" borderId="1" xfId="0" applyNumberFormat="1" applyFont="1" applyBorder="1" applyAlignment="1">
      <alignment horizontal="center" vertical="center" wrapText="1"/>
    </xf>
    <xf numFmtId="3" fontId="18" fillId="2" borderId="1" xfId="3" applyNumberFormat="1" applyFont="1" applyFill="1" applyBorder="1" applyAlignment="1">
      <alignment horizontal="center" vertical="center" wrapText="1"/>
    </xf>
    <xf numFmtId="0" fontId="18" fillId="0" borderId="1" xfId="3" applyNumberFormat="1" applyFont="1" applyBorder="1" applyAlignment="1">
      <alignment horizontal="center" vertical="center" wrapText="1"/>
    </xf>
    <xf numFmtId="0" fontId="17" fillId="0" borderId="1" xfId="1" applyNumberFormat="1" applyFont="1" applyBorder="1" applyAlignment="1">
      <alignment horizontal="center" vertical="center" wrapText="1"/>
    </xf>
    <xf numFmtId="14" fontId="10" fillId="3" borderId="2" xfId="0" applyNumberFormat="1" applyFont="1" applyFill="1" applyBorder="1" applyAlignment="1">
      <alignment vertical="center" wrapText="1"/>
    </xf>
    <xf numFmtId="14" fontId="10" fillId="3" borderId="3" xfId="0" applyNumberFormat="1" applyFont="1" applyFill="1" applyBorder="1" applyAlignment="1">
      <alignment vertical="center" wrapText="1"/>
    </xf>
    <xf numFmtId="14" fontId="10" fillId="3" borderId="4" xfId="0" applyNumberFormat="1" applyFont="1" applyFill="1" applyBorder="1" applyAlignment="1">
      <alignment vertical="center" wrapText="1"/>
    </xf>
    <xf numFmtId="0" fontId="5" fillId="0" borderId="0" xfId="0" applyFont="1"/>
    <xf numFmtId="0" fontId="20" fillId="3" borderId="1" xfId="0" applyFont="1" applyFill="1" applyBorder="1" applyAlignment="1">
      <alignment horizontal="center" vertical="center"/>
    </xf>
    <xf numFmtId="3" fontId="10" fillId="3" borderId="1" xfId="3" applyNumberFormat="1" applyFont="1" applyFill="1" applyBorder="1" applyAlignment="1">
      <alignment horizontal="center" vertical="center" wrapText="1"/>
    </xf>
    <xf numFmtId="0" fontId="10" fillId="3" borderId="1" xfId="3"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0" borderId="0" xfId="0" applyFont="1"/>
    <xf numFmtId="0" fontId="21" fillId="0" borderId="0" xfId="0" applyFont="1"/>
    <xf numFmtId="0" fontId="24" fillId="0" borderId="0" xfId="0" applyFont="1"/>
    <xf numFmtId="0" fontId="6" fillId="0" borderId="0" xfId="0" applyFont="1" applyAlignment="1">
      <alignment horizontal="center"/>
    </xf>
    <xf numFmtId="0" fontId="6" fillId="0" borderId="0" xfId="0" applyFont="1" applyAlignment="1">
      <alignment vertical="center"/>
    </xf>
    <xf numFmtId="0" fontId="6" fillId="0" borderId="1" xfId="0" applyFont="1" applyBorder="1" applyAlignment="1">
      <alignment horizontal="center" vertical="center"/>
    </xf>
    <xf numFmtId="0" fontId="20" fillId="0" borderId="1" xfId="0" applyFont="1" applyBorder="1" applyAlignment="1">
      <alignment horizontal="center" vertical="center"/>
    </xf>
    <xf numFmtId="3" fontId="6" fillId="0" borderId="1" xfId="0" applyNumberFormat="1" applyFont="1" applyBorder="1" applyAlignment="1">
      <alignment horizontal="center" vertical="center"/>
    </xf>
    <xf numFmtId="0" fontId="6" fillId="0" borderId="2"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26" fillId="4"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164" fontId="28" fillId="0" borderId="1" xfId="3" applyNumberFormat="1" applyFont="1" applyBorder="1" applyAlignment="1">
      <alignment horizontal="center" vertical="center" wrapText="1"/>
    </xf>
    <xf numFmtId="3" fontId="29" fillId="3" borderId="1" xfId="3" applyNumberFormat="1" applyFont="1" applyFill="1" applyBorder="1" applyAlignment="1">
      <alignment horizontal="center" vertical="center" wrapText="1"/>
    </xf>
    <xf numFmtId="164" fontId="30" fillId="0" borderId="1" xfId="3" applyNumberFormat="1" applyFont="1" applyBorder="1" applyAlignment="1">
      <alignment horizontal="center" vertical="center" wrapText="1"/>
    </xf>
    <xf numFmtId="164" fontId="25" fillId="0" borderId="1" xfId="1" applyNumberFormat="1" applyFont="1" applyBorder="1" applyAlignment="1">
      <alignment horizontal="center" vertical="center" wrapText="1"/>
    </xf>
    <xf numFmtId="164" fontId="30" fillId="2" borderId="1" xfId="3" applyNumberFormat="1" applyFont="1" applyFill="1" applyBorder="1" applyAlignment="1">
      <alignment horizontal="center" vertical="center" wrapText="1"/>
    </xf>
    <xf numFmtId="0" fontId="25" fillId="0" borderId="1" xfId="0" applyFont="1" applyBorder="1" applyAlignment="1">
      <alignment horizontal="center" vertical="center"/>
    </xf>
    <xf numFmtId="0" fontId="6" fillId="0" borderId="0" xfId="0" applyFont="1" applyAlignment="1">
      <alignment horizontal="left"/>
    </xf>
    <xf numFmtId="0" fontId="5" fillId="0" borderId="0" xfId="0" applyFont="1" applyAlignment="1">
      <alignment horizontal="left"/>
    </xf>
    <xf numFmtId="0" fontId="17" fillId="0" borderId="1" xfId="0" applyFont="1" applyBorder="1" applyAlignment="1">
      <alignment horizontal="left" vertical="center"/>
    </xf>
    <xf numFmtId="14" fontId="18" fillId="2" borderId="1" xfId="0" applyNumberFormat="1" applyFont="1" applyFill="1" applyBorder="1" applyAlignment="1">
      <alignment horizontal="left" vertical="center" wrapText="1"/>
    </xf>
    <xf numFmtId="0" fontId="8" fillId="0" borderId="0" xfId="0" applyFont="1"/>
    <xf numFmtId="14" fontId="10" fillId="3" borderId="1" xfId="0" applyNumberFormat="1" applyFont="1" applyFill="1" applyBorder="1" applyAlignment="1">
      <alignment horizontal="left" vertical="center" wrapText="1"/>
    </xf>
    <xf numFmtId="0" fontId="7" fillId="0" borderId="0" xfId="0" applyFont="1" applyAlignment="1">
      <alignment horizontal="center"/>
    </xf>
    <xf numFmtId="0" fontId="25" fillId="4" borderId="1" xfId="0" applyFont="1" applyFill="1" applyBorder="1" applyAlignment="1">
      <alignment horizontal="center" vertical="center" wrapText="1"/>
    </xf>
    <xf numFmtId="3" fontId="13" fillId="3" borderId="1" xfId="3" applyNumberFormat="1" applyFont="1" applyFill="1" applyBorder="1" applyAlignment="1">
      <alignment horizontal="center" vertical="center" wrapText="1"/>
    </xf>
    <xf numFmtId="3" fontId="4" fillId="3" borderId="1" xfId="3" applyNumberFormat="1" applyFont="1" applyFill="1" applyBorder="1" applyAlignment="1">
      <alignment horizontal="center" vertical="center" wrapText="1"/>
    </xf>
    <xf numFmtId="164" fontId="2" fillId="0" borderId="1" xfId="1" applyNumberFormat="1" applyFont="1" applyBorder="1" applyAlignment="1">
      <alignment horizontal="center" vertical="center" wrapText="1"/>
    </xf>
    <xf numFmtId="3" fontId="32" fillId="3" borderId="1" xfId="3" applyNumberFormat="1" applyFont="1" applyFill="1" applyBorder="1" applyAlignment="1">
      <alignment horizontal="center" vertical="center" wrapText="1"/>
    </xf>
    <xf numFmtId="164" fontId="33" fillId="0" borderId="1" xfId="1" applyNumberFormat="1" applyFont="1" applyBorder="1" applyAlignment="1">
      <alignment horizontal="center" vertical="center" wrapText="1"/>
    </xf>
    <xf numFmtId="3" fontId="2" fillId="3" borderId="1" xfId="1" applyNumberFormat="1" applyFont="1" applyFill="1" applyBorder="1" applyAlignment="1">
      <alignment horizontal="center" vertical="center" wrapText="1"/>
    </xf>
    <xf numFmtId="0" fontId="12" fillId="0" borderId="0" xfId="0" applyFont="1" applyAlignment="1">
      <alignment vertical="center"/>
    </xf>
    <xf numFmtId="0" fontId="7" fillId="0" borderId="0" xfId="0" applyFont="1" applyAlignment="1">
      <alignment vertical="center"/>
    </xf>
    <xf numFmtId="0" fontId="31" fillId="0" borderId="0" xfId="0" applyFont="1" applyAlignment="1">
      <alignment vertical="center"/>
    </xf>
    <xf numFmtId="0" fontId="8" fillId="0" borderId="1" xfId="0" applyFont="1" applyBorder="1" applyAlignment="1">
      <alignment horizontal="center" vertical="center"/>
    </xf>
    <xf numFmtId="0" fontId="5" fillId="0" borderId="0" xfId="0" applyFont="1" applyAlignment="1">
      <alignment vertical="center"/>
    </xf>
    <xf numFmtId="0" fontId="33" fillId="0" borderId="0" xfId="0" applyFont="1" applyAlignment="1">
      <alignment horizontal="center" vertical="center"/>
    </xf>
    <xf numFmtId="0" fontId="6" fillId="0" borderId="0" xfId="0" applyFont="1" applyFill="1" applyAlignment="1">
      <alignment vertical="center"/>
    </xf>
    <xf numFmtId="0" fontId="34"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6" fillId="2" borderId="0" xfId="0" applyFont="1" applyFill="1" applyAlignment="1">
      <alignment vertical="center"/>
    </xf>
    <xf numFmtId="0" fontId="39" fillId="0" borderId="0" xfId="0" applyFont="1" applyAlignment="1">
      <alignment vertical="center"/>
    </xf>
    <xf numFmtId="0" fontId="40" fillId="0" borderId="0" xfId="0" applyFont="1" applyAlignment="1">
      <alignment vertical="center"/>
    </xf>
    <xf numFmtId="0" fontId="8" fillId="0" borderId="4" xfId="0" applyFont="1" applyBorder="1" applyAlignment="1">
      <alignment horizontal="center" vertical="center"/>
    </xf>
    <xf numFmtId="0" fontId="8" fillId="0" borderId="0" xfId="0" applyFont="1" applyAlignment="1">
      <alignment vertical="center"/>
    </xf>
    <xf numFmtId="0" fontId="39" fillId="5" borderId="2" xfId="0" applyFont="1" applyFill="1" applyBorder="1" applyAlignment="1">
      <alignment horizontal="center" vertical="center"/>
    </xf>
    <xf numFmtId="2" fontId="39" fillId="0" borderId="4" xfId="0" applyNumberFormat="1" applyFont="1" applyBorder="1" applyAlignment="1">
      <alignment vertical="center"/>
    </xf>
    <xf numFmtId="3" fontId="39" fillId="0" borderId="1" xfId="0" applyNumberFormat="1" applyFont="1" applyBorder="1" applyAlignment="1">
      <alignment vertical="center"/>
    </xf>
    <xf numFmtId="0" fontId="39" fillId="9" borderId="2" xfId="0" applyFont="1" applyFill="1" applyBorder="1" applyAlignment="1">
      <alignment horizontal="center" vertical="center"/>
    </xf>
    <xf numFmtId="0" fontId="40" fillId="0" borderId="0" xfId="0" applyFont="1" applyAlignment="1">
      <alignment horizontal="center" vertical="center"/>
    </xf>
    <xf numFmtId="0" fontId="39" fillId="7" borderId="2" xfId="0" applyFont="1" applyFill="1" applyBorder="1" applyAlignment="1">
      <alignment horizontal="center" vertical="center" wrapText="1"/>
    </xf>
    <xf numFmtId="0" fontId="39" fillId="11" borderId="1" xfId="0" applyFont="1" applyFill="1" applyBorder="1" applyAlignment="1">
      <alignment horizontal="center" vertical="center"/>
    </xf>
    <xf numFmtId="0" fontId="39" fillId="6" borderId="2" xfId="0" applyFont="1" applyFill="1" applyBorder="1" applyAlignment="1">
      <alignment horizontal="center" vertical="center"/>
    </xf>
    <xf numFmtId="0" fontId="39" fillId="4" borderId="1" xfId="0" applyFont="1" applyFill="1" applyBorder="1" applyAlignment="1">
      <alignment vertical="center"/>
    </xf>
    <xf numFmtId="0" fontId="42" fillId="4" borderId="1" xfId="0" applyFont="1" applyFill="1" applyBorder="1" applyAlignment="1">
      <alignment horizontal="center" vertical="center"/>
    </xf>
    <xf numFmtId="0" fontId="40"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39" fillId="5" borderId="1" xfId="0" applyFont="1" applyFill="1" applyBorder="1" applyAlignment="1">
      <alignment horizontal="center" vertical="center" wrapText="1"/>
    </xf>
    <xf numFmtId="0" fontId="44" fillId="5" borderId="1" xfId="3" applyFont="1" applyFill="1" applyBorder="1" applyAlignment="1">
      <alignment horizontal="center" vertical="center" wrapText="1"/>
    </xf>
    <xf numFmtId="2" fontId="42" fillId="5" borderId="1" xfId="3" applyNumberFormat="1" applyFont="1" applyFill="1" applyBorder="1" applyAlignment="1">
      <alignment horizontal="center" vertical="center" wrapText="1"/>
    </xf>
    <xf numFmtId="2" fontId="44" fillId="5" borderId="1" xfId="3" applyNumberFormat="1" applyFont="1" applyFill="1" applyBorder="1" applyAlignment="1">
      <alignment horizontal="center" vertical="center" wrapText="1"/>
    </xf>
    <xf numFmtId="165" fontId="42" fillId="5" borderId="1" xfId="3" applyNumberFormat="1" applyFont="1" applyFill="1" applyBorder="1" applyAlignment="1">
      <alignment horizontal="center" vertical="center" wrapText="1"/>
    </xf>
    <xf numFmtId="164" fontId="42" fillId="5" borderId="1" xfId="3" applyNumberFormat="1" applyFont="1" applyFill="1" applyBorder="1" applyAlignment="1">
      <alignment horizontal="left" vertical="center" wrapText="1"/>
    </xf>
    <xf numFmtId="14" fontId="42" fillId="5" borderId="1" xfId="1" applyNumberFormat="1" applyFont="1" applyFill="1" applyBorder="1" applyAlignment="1">
      <alignment horizontal="center" vertical="center" wrapText="1"/>
    </xf>
    <xf numFmtId="0" fontId="40" fillId="11" borderId="1" xfId="0" applyFont="1" applyFill="1" applyBorder="1" applyAlignment="1">
      <alignment horizontal="center" vertical="center"/>
    </xf>
    <xf numFmtId="0" fontId="9" fillId="11" borderId="1" xfId="0" applyFont="1" applyFill="1" applyBorder="1" applyAlignment="1">
      <alignment horizontal="center" vertical="center" wrapText="1"/>
    </xf>
    <xf numFmtId="0" fontId="39" fillId="11" borderId="1" xfId="0" applyFont="1" applyFill="1" applyBorder="1" applyAlignment="1">
      <alignment horizontal="center" vertical="center" wrapText="1"/>
    </xf>
    <xf numFmtId="3" fontId="44" fillId="11" borderId="1" xfId="3" applyNumberFormat="1" applyFont="1" applyFill="1" applyBorder="1" applyAlignment="1">
      <alignment horizontal="center" vertical="center" wrapText="1"/>
    </xf>
    <xf numFmtId="2" fontId="42" fillId="11" borderId="1" xfId="3" applyNumberFormat="1" applyFont="1" applyFill="1" applyBorder="1" applyAlignment="1">
      <alignment horizontal="center" vertical="center" wrapText="1"/>
    </xf>
    <xf numFmtId="2" fontId="44" fillId="11" borderId="1" xfId="3" applyNumberFormat="1" applyFont="1" applyFill="1" applyBorder="1" applyAlignment="1">
      <alignment horizontal="center" vertical="center" wrapText="1"/>
    </xf>
    <xf numFmtId="2" fontId="39" fillId="11" borderId="1" xfId="1" applyNumberFormat="1" applyFont="1" applyFill="1" applyBorder="1" applyAlignment="1">
      <alignment horizontal="center" vertical="center" wrapText="1"/>
    </xf>
    <xf numFmtId="164" fontId="42" fillId="11" borderId="1" xfId="3" applyNumberFormat="1" applyFont="1" applyFill="1" applyBorder="1" applyAlignment="1">
      <alignment horizontal="center" vertical="center" wrapText="1"/>
    </xf>
    <xf numFmtId="164" fontId="42" fillId="11" borderId="1" xfId="3" applyNumberFormat="1" applyFont="1" applyFill="1" applyBorder="1" applyAlignment="1">
      <alignment horizontal="left" vertical="center" wrapText="1"/>
    </xf>
    <xf numFmtId="14" fontId="42" fillId="11" borderId="1" xfId="1" applyNumberFormat="1" applyFont="1" applyFill="1" applyBorder="1" applyAlignment="1">
      <alignment horizontal="center" vertical="center" wrapText="1"/>
    </xf>
    <xf numFmtId="0" fontId="40"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39" fillId="9" borderId="1" xfId="0" applyFont="1" applyFill="1" applyBorder="1" applyAlignment="1">
      <alignment horizontal="center" vertical="center" wrapText="1"/>
    </xf>
    <xf numFmtId="3" fontId="44" fillId="9" borderId="1" xfId="3" applyNumberFormat="1" applyFont="1" applyFill="1" applyBorder="1" applyAlignment="1">
      <alignment horizontal="center" vertical="center" wrapText="1"/>
    </xf>
    <xf numFmtId="2" fontId="42" fillId="9" borderId="1" xfId="3" applyNumberFormat="1" applyFont="1" applyFill="1" applyBorder="1" applyAlignment="1">
      <alignment horizontal="center" vertical="center" wrapText="1"/>
    </xf>
    <xf numFmtId="2" fontId="44" fillId="9" borderId="1" xfId="3" applyNumberFormat="1" applyFont="1" applyFill="1" applyBorder="1" applyAlignment="1">
      <alignment horizontal="center" vertical="center" wrapText="1"/>
    </xf>
    <xf numFmtId="2" fontId="39" fillId="9" borderId="1" xfId="1" applyNumberFormat="1" applyFont="1" applyFill="1" applyBorder="1" applyAlignment="1">
      <alignment horizontal="center" vertical="center" wrapText="1"/>
    </xf>
    <xf numFmtId="164" fontId="42" fillId="9" borderId="1" xfId="3" applyNumberFormat="1" applyFont="1" applyFill="1" applyBorder="1" applyAlignment="1">
      <alignment horizontal="center" vertical="center" wrapText="1"/>
    </xf>
    <xf numFmtId="0" fontId="39" fillId="9" borderId="1" xfId="0" applyFont="1" applyFill="1" applyBorder="1" applyAlignment="1">
      <alignment horizontal="left" vertical="center" wrapText="1"/>
    </xf>
    <xf numFmtId="14" fontId="42" fillId="9" borderId="1" xfId="1" applyNumberFormat="1" applyFont="1" applyFill="1" applyBorder="1" applyAlignment="1">
      <alignment horizontal="center" vertical="center" wrapText="1"/>
    </xf>
    <xf numFmtId="0" fontId="40"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2" fontId="39" fillId="9" borderId="1" xfId="0" applyNumberFormat="1" applyFont="1" applyFill="1" applyBorder="1" applyAlignment="1">
      <alignment horizontal="center" vertical="center" wrapText="1"/>
    </xf>
    <xf numFmtId="0" fontId="45" fillId="9" borderId="1" xfId="0" applyFont="1" applyFill="1" applyBorder="1" applyAlignment="1">
      <alignment horizontal="left" vertical="center" wrapText="1" readingOrder="1"/>
    </xf>
    <xf numFmtId="0" fontId="40" fillId="10" borderId="1" xfId="0" applyFont="1" applyFill="1" applyBorder="1" applyAlignment="1">
      <alignment horizontal="center" vertical="center"/>
    </xf>
    <xf numFmtId="0" fontId="42" fillId="10" borderId="1" xfId="1" applyFont="1" applyFill="1" applyBorder="1" applyAlignment="1">
      <alignment horizontal="center" vertical="center" wrapText="1"/>
    </xf>
    <xf numFmtId="0" fontId="39" fillId="10" borderId="1" xfId="0" applyFont="1" applyFill="1" applyBorder="1" applyAlignment="1">
      <alignment horizontal="center" vertical="center" wrapText="1"/>
    </xf>
    <xf numFmtId="0" fontId="39" fillId="7" borderId="1" xfId="0" applyFont="1" applyFill="1" applyBorder="1" applyAlignment="1">
      <alignment horizontal="center" vertical="center"/>
    </xf>
    <xf numFmtId="0" fontId="44" fillId="10" borderId="1" xfId="3" applyFont="1" applyFill="1" applyBorder="1" applyAlignment="1">
      <alignment horizontal="center" vertical="center" wrapText="1"/>
    </xf>
    <xf numFmtId="2" fontId="42" fillId="10" borderId="1" xfId="3" applyNumberFormat="1" applyFont="1" applyFill="1" applyBorder="1" applyAlignment="1">
      <alignment horizontal="center" vertical="center" wrapText="1"/>
    </xf>
    <xf numFmtId="2" fontId="44" fillId="10" borderId="1" xfId="3" applyNumberFormat="1" applyFont="1" applyFill="1" applyBorder="1" applyAlignment="1">
      <alignment horizontal="center" vertical="center" wrapText="1"/>
    </xf>
    <xf numFmtId="2" fontId="39" fillId="10" borderId="1" xfId="1" applyNumberFormat="1" applyFont="1" applyFill="1" applyBorder="1" applyAlignment="1">
      <alignment horizontal="center" vertical="center" wrapText="1"/>
    </xf>
    <xf numFmtId="2" fontId="39" fillId="10" borderId="1" xfId="0" applyNumberFormat="1" applyFont="1" applyFill="1" applyBorder="1" applyAlignment="1">
      <alignment horizontal="center" vertical="center"/>
    </xf>
    <xf numFmtId="0" fontId="39" fillId="10" borderId="1" xfId="0" applyFont="1" applyFill="1" applyBorder="1" applyAlignment="1">
      <alignment horizontal="left" vertical="center" wrapText="1"/>
    </xf>
    <xf numFmtId="0" fontId="37" fillId="10" borderId="1" xfId="0" applyFont="1" applyFill="1" applyBorder="1" applyAlignment="1">
      <alignment horizontal="center" vertical="center" wrapText="1"/>
    </xf>
    <xf numFmtId="0" fontId="9" fillId="9" borderId="1" xfId="1" applyFont="1" applyFill="1" applyBorder="1" applyAlignment="1">
      <alignment horizontal="center" vertical="center" wrapText="1"/>
    </xf>
    <xf numFmtId="0" fontId="9" fillId="5" borderId="1" xfId="1" applyFont="1" applyFill="1" applyBorder="1" applyAlignment="1">
      <alignment horizontal="center" vertical="center" wrapText="1"/>
    </xf>
    <xf numFmtId="3" fontId="44" fillId="5" borderId="1" xfId="3" applyNumberFormat="1" applyFont="1" applyFill="1" applyBorder="1" applyAlignment="1">
      <alignment horizontal="center" vertical="center" wrapText="1"/>
    </xf>
    <xf numFmtId="2" fontId="39" fillId="5" borderId="1" xfId="1" applyNumberFormat="1" applyFont="1" applyFill="1" applyBorder="1" applyAlignment="1">
      <alignment horizontal="center" vertical="center" wrapText="1"/>
    </xf>
    <xf numFmtId="0" fontId="39" fillId="5" borderId="1" xfId="0" applyFont="1" applyFill="1" applyBorder="1" applyAlignment="1">
      <alignment horizontal="left" vertical="center" wrapText="1"/>
    </xf>
    <xf numFmtId="0" fontId="9" fillId="11" borderId="1" xfId="1" applyFont="1" applyFill="1" applyBorder="1" applyAlignment="1">
      <alignment horizontal="center" vertical="center" wrapText="1"/>
    </xf>
    <xf numFmtId="0" fontId="39" fillId="3" borderId="1" xfId="0" applyFont="1" applyFill="1" applyBorder="1" applyAlignment="1">
      <alignment horizontal="left" vertical="center" wrapText="1"/>
    </xf>
    <xf numFmtId="0" fontId="39" fillId="11" borderId="1" xfId="0" applyFont="1" applyFill="1" applyBorder="1" applyAlignment="1">
      <alignment horizontal="left" vertical="center" wrapText="1"/>
    </xf>
    <xf numFmtId="0" fontId="44" fillId="9" borderId="1" xfId="3" applyFont="1" applyFill="1" applyBorder="1" applyAlignment="1">
      <alignment horizontal="center" vertical="center" wrapText="1"/>
    </xf>
    <xf numFmtId="0" fontId="44" fillId="11" borderId="1" xfId="3" applyFont="1" applyFill="1" applyBorder="1" applyAlignment="1">
      <alignment horizontal="center" vertical="center" wrapText="1"/>
    </xf>
    <xf numFmtId="0" fontId="40" fillId="8" borderId="1" xfId="0" applyFont="1" applyFill="1" applyBorder="1" applyAlignment="1">
      <alignment horizontal="center" vertical="center"/>
    </xf>
    <xf numFmtId="0" fontId="39" fillId="8" borderId="1" xfId="0" applyFont="1" applyFill="1" applyBorder="1" applyAlignment="1">
      <alignment horizontal="center" vertical="center" wrapText="1"/>
    </xf>
    <xf numFmtId="0" fontId="44" fillId="8" borderId="1" xfId="3" applyFont="1" applyFill="1" applyBorder="1" applyAlignment="1">
      <alignment horizontal="center" vertical="center" wrapText="1"/>
    </xf>
    <xf numFmtId="2" fontId="42" fillId="8" borderId="1" xfId="3" applyNumberFormat="1" applyFont="1" applyFill="1" applyBorder="1" applyAlignment="1">
      <alignment horizontal="center" vertical="center" wrapText="1"/>
    </xf>
    <xf numFmtId="2" fontId="44" fillId="8" borderId="1" xfId="3" applyNumberFormat="1" applyFont="1" applyFill="1" applyBorder="1" applyAlignment="1">
      <alignment horizontal="center" vertical="center" wrapText="1"/>
    </xf>
    <xf numFmtId="2" fontId="39" fillId="8" borderId="1" xfId="1" applyNumberFormat="1" applyFont="1" applyFill="1" applyBorder="1" applyAlignment="1">
      <alignment horizontal="center" vertical="center" wrapText="1"/>
    </xf>
    <xf numFmtId="0" fontId="39" fillId="8" borderId="1" xfId="0" applyFont="1" applyFill="1" applyBorder="1" applyAlignment="1">
      <alignment horizontal="left" vertical="center" wrapText="1"/>
    </xf>
    <xf numFmtId="0" fontId="42" fillId="10" borderId="1" xfId="0" applyFont="1" applyFill="1" applyBorder="1" applyAlignment="1">
      <alignment horizontal="center" vertical="center" wrapText="1"/>
    </xf>
    <xf numFmtId="0" fontId="39" fillId="7" borderId="1" xfId="0" applyFont="1" applyFill="1" applyBorder="1" applyAlignment="1">
      <alignment horizontal="center" vertical="center" wrapText="1"/>
    </xf>
    <xf numFmtId="2" fontId="37" fillId="10" borderId="1" xfId="0" applyNumberFormat="1" applyFont="1" applyFill="1" applyBorder="1" applyAlignment="1">
      <alignment horizontal="center" vertical="center" wrapText="1"/>
    </xf>
    <xf numFmtId="0" fontId="40" fillId="13" borderId="1" xfId="0" applyFont="1" applyFill="1" applyBorder="1" applyAlignment="1">
      <alignment horizontal="center" vertical="center"/>
    </xf>
    <xf numFmtId="0" fontId="39" fillId="13" borderId="1" xfId="0" applyFont="1" applyFill="1" applyBorder="1" applyAlignment="1">
      <alignment horizontal="center" vertical="center" wrapText="1"/>
    </xf>
    <xf numFmtId="0" fontId="44" fillId="13" borderId="1" xfId="3" applyFont="1" applyFill="1" applyBorder="1" applyAlignment="1">
      <alignment horizontal="center" vertical="center" wrapText="1"/>
    </xf>
    <xf numFmtId="2" fontId="42" fillId="13" borderId="1" xfId="3" applyNumberFormat="1" applyFont="1" applyFill="1" applyBorder="1" applyAlignment="1">
      <alignment horizontal="center" vertical="center" wrapText="1"/>
    </xf>
    <xf numFmtId="2" fontId="37" fillId="13" borderId="1" xfId="0" applyNumberFormat="1" applyFont="1" applyFill="1" applyBorder="1" applyAlignment="1">
      <alignment horizontal="center" vertical="center" wrapText="1"/>
    </xf>
    <xf numFmtId="2" fontId="44" fillId="13" borderId="1" xfId="3" applyNumberFormat="1" applyFont="1" applyFill="1" applyBorder="1" applyAlignment="1">
      <alignment horizontal="center" vertical="center" wrapText="1"/>
    </xf>
    <xf numFmtId="2" fontId="39" fillId="13" borderId="1" xfId="1" applyNumberFormat="1" applyFont="1" applyFill="1" applyBorder="1" applyAlignment="1">
      <alignment horizontal="center" vertical="center" wrapText="1"/>
    </xf>
    <xf numFmtId="0" fontId="39" fillId="12" borderId="1" xfId="0" applyFont="1" applyFill="1" applyBorder="1" applyAlignment="1">
      <alignment vertical="center"/>
    </xf>
    <xf numFmtId="0" fontId="42" fillId="12" borderId="1" xfId="0" applyFont="1" applyFill="1" applyBorder="1" applyAlignment="1">
      <alignment horizontal="center" vertical="center"/>
    </xf>
    <xf numFmtId="0" fontId="40" fillId="12" borderId="1" xfId="0" applyFont="1" applyFill="1" applyBorder="1" applyAlignment="1">
      <alignment horizontal="center" vertical="center"/>
    </xf>
    <xf numFmtId="0" fontId="39" fillId="12" borderId="1" xfId="0" applyFont="1" applyFill="1" applyBorder="1" applyAlignment="1">
      <alignment horizontal="center" vertical="center" wrapText="1"/>
    </xf>
    <xf numFmtId="0" fontId="44" fillId="12" borderId="1" xfId="3" applyFont="1" applyFill="1" applyBorder="1" applyAlignment="1">
      <alignment horizontal="center" vertical="center" wrapText="1"/>
    </xf>
    <xf numFmtId="2" fontId="42" fillId="12" borderId="1" xfId="3" applyNumberFormat="1" applyFont="1" applyFill="1" applyBorder="1" applyAlignment="1">
      <alignment horizontal="center" vertical="center" wrapText="1"/>
    </xf>
    <xf numFmtId="2" fontId="37" fillId="12" borderId="1" xfId="0" applyNumberFormat="1" applyFont="1" applyFill="1" applyBorder="1" applyAlignment="1">
      <alignment horizontal="center" vertical="center" wrapText="1"/>
    </xf>
    <xf numFmtId="2" fontId="44" fillId="12" borderId="1" xfId="3" applyNumberFormat="1" applyFont="1" applyFill="1" applyBorder="1" applyAlignment="1">
      <alignment horizontal="center" vertical="center" wrapText="1"/>
    </xf>
    <xf numFmtId="2" fontId="39" fillId="12" borderId="1" xfId="1" applyNumberFormat="1" applyFont="1" applyFill="1" applyBorder="1" applyAlignment="1">
      <alignment horizontal="center" vertical="center" wrapText="1"/>
    </xf>
    <xf numFmtId="0" fontId="39" fillId="12" borderId="1" xfId="0" applyFont="1" applyFill="1" applyBorder="1" applyAlignment="1">
      <alignment horizontal="left" vertical="center" wrapText="1"/>
    </xf>
    <xf numFmtId="0" fontId="39" fillId="3" borderId="1" xfId="0" applyFont="1" applyFill="1" applyBorder="1" applyAlignment="1">
      <alignment horizontal="center" vertical="center" wrapText="1"/>
    </xf>
    <xf numFmtId="0" fontId="46" fillId="5" borderId="1" xfId="0" applyFont="1" applyFill="1" applyBorder="1" applyAlignment="1">
      <alignment horizontal="center" vertical="center"/>
    </xf>
    <xf numFmtId="0" fontId="39" fillId="5" borderId="1" xfId="0" applyFont="1" applyFill="1" applyBorder="1" applyAlignment="1">
      <alignment horizontal="center" vertical="center"/>
    </xf>
    <xf numFmtId="164" fontId="42" fillId="5" borderId="1" xfId="3" applyNumberFormat="1" applyFont="1" applyFill="1" applyBorder="1" applyAlignment="1">
      <alignment horizontal="center" vertical="center" wrapText="1"/>
    </xf>
    <xf numFmtId="0" fontId="45" fillId="9" borderId="1" xfId="0" applyFont="1" applyFill="1" applyBorder="1" applyAlignment="1">
      <alignment horizontal="center" vertical="center" wrapText="1" readingOrder="1"/>
    </xf>
    <xf numFmtId="0" fontId="39" fillId="0" borderId="1" xfId="0" applyFont="1" applyFill="1" applyBorder="1" applyAlignment="1">
      <alignment horizontal="center" vertical="center"/>
    </xf>
    <xf numFmtId="164" fontId="42" fillId="9" borderId="1" xfId="3" applyNumberFormat="1" applyFont="1" applyFill="1" applyBorder="1" applyAlignment="1">
      <alignment horizontal="left" vertical="center" wrapText="1"/>
    </xf>
    <xf numFmtId="3" fontId="44" fillId="10" borderId="1" xfId="3" applyNumberFormat="1" applyFont="1" applyFill="1" applyBorder="1" applyAlignment="1">
      <alignment horizontal="center" vertical="center" wrapText="1"/>
    </xf>
    <xf numFmtId="2" fontId="37" fillId="10" borderId="1" xfId="4" applyNumberFormat="1" applyFont="1" applyFill="1" applyBorder="1" applyAlignment="1">
      <alignment horizontal="center" vertical="center" wrapText="1"/>
    </xf>
    <xf numFmtId="164" fontId="42" fillId="10" borderId="1" xfId="3" applyNumberFormat="1" applyFont="1" applyFill="1" applyBorder="1" applyAlignment="1">
      <alignment horizontal="left" vertical="center" wrapText="1"/>
    </xf>
    <xf numFmtId="164" fontId="42" fillId="10" borderId="1" xfId="3"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7" borderId="1" xfId="0" applyFont="1" applyFill="1" applyBorder="1" applyAlignment="1">
      <alignment horizontal="center" vertical="center"/>
    </xf>
    <xf numFmtId="3" fontId="44" fillId="7" borderId="1" xfId="3" applyNumberFormat="1" applyFont="1" applyFill="1" applyBorder="1" applyAlignment="1">
      <alignment horizontal="center" vertical="center" wrapText="1"/>
    </xf>
    <xf numFmtId="2" fontId="42" fillId="7" borderId="1" xfId="3" applyNumberFormat="1" applyFont="1" applyFill="1" applyBorder="1" applyAlignment="1">
      <alignment horizontal="center" vertical="center" wrapText="1"/>
    </xf>
    <xf numFmtId="2" fontId="37" fillId="7" borderId="1" xfId="4" applyNumberFormat="1" applyFont="1" applyFill="1" applyBorder="1" applyAlignment="1">
      <alignment horizontal="center" vertical="center" wrapText="1"/>
    </xf>
    <xf numFmtId="2" fontId="39" fillId="7" borderId="1" xfId="1" applyNumberFormat="1" applyFont="1" applyFill="1" applyBorder="1" applyAlignment="1">
      <alignment horizontal="center" vertical="center" wrapText="1"/>
    </xf>
    <xf numFmtId="164" fontId="42" fillId="3" borderId="1" xfId="3" applyNumberFormat="1" applyFont="1" applyFill="1" applyBorder="1" applyAlignment="1">
      <alignment horizontal="center" vertical="center" wrapText="1"/>
    </xf>
    <xf numFmtId="164" fontId="42" fillId="7" borderId="1" xfId="3" applyNumberFormat="1" applyFont="1" applyFill="1" applyBorder="1" applyAlignment="1">
      <alignment horizontal="center" vertical="center" wrapText="1"/>
    </xf>
    <xf numFmtId="2" fontId="39" fillId="9" borderId="1" xfId="0" applyNumberFormat="1" applyFont="1" applyFill="1" applyBorder="1" applyAlignment="1">
      <alignment horizontal="center" vertical="center"/>
    </xf>
    <xf numFmtId="2" fontId="40" fillId="9" borderId="1" xfId="0" applyNumberFormat="1" applyFont="1" applyFill="1" applyBorder="1" applyAlignment="1">
      <alignment horizontal="center" vertical="center"/>
    </xf>
    <xf numFmtId="0" fontId="45" fillId="9" borderId="1" xfId="0" applyFont="1" applyFill="1" applyBorder="1" applyAlignment="1">
      <alignment horizontal="left" vertical="center" wrapText="1"/>
    </xf>
    <xf numFmtId="0" fontId="42" fillId="7" borderId="1" xfId="1" applyFont="1" applyFill="1" applyBorder="1" applyAlignment="1">
      <alignment horizontal="center" vertical="center" wrapText="1"/>
    </xf>
    <xf numFmtId="0" fontId="44" fillId="7" borderId="1" xfId="3" applyFont="1" applyFill="1" applyBorder="1" applyAlignment="1">
      <alignment horizontal="center" vertical="center" wrapText="1"/>
    </xf>
    <xf numFmtId="2" fontId="44" fillId="7" borderId="1" xfId="3" applyNumberFormat="1" applyFont="1" applyFill="1" applyBorder="1" applyAlignment="1">
      <alignment horizontal="center" vertical="center" wrapText="1"/>
    </xf>
    <xf numFmtId="2" fontId="39" fillId="7" borderId="1" xfId="0" applyNumberFormat="1" applyFont="1" applyFill="1" applyBorder="1" applyAlignment="1">
      <alignment horizontal="center" vertical="center"/>
    </xf>
    <xf numFmtId="0" fontId="37" fillId="7" borderId="1" xfId="0" applyFont="1" applyFill="1" applyBorder="1" applyAlignment="1">
      <alignment horizontal="left" vertical="center" wrapText="1"/>
    </xf>
    <xf numFmtId="165" fontId="42" fillId="7" borderId="1" xfId="3" applyNumberFormat="1" applyFont="1" applyFill="1" applyBorder="1" applyAlignment="1">
      <alignment horizontal="center" vertical="center" wrapText="1"/>
    </xf>
    <xf numFmtId="165" fontId="42" fillId="9" borderId="1" xfId="3" applyNumberFormat="1" applyFont="1" applyFill="1" applyBorder="1" applyAlignment="1">
      <alignment horizontal="center" vertical="center" wrapText="1"/>
    </xf>
    <xf numFmtId="0" fontId="37" fillId="10" borderId="1" xfId="0" applyFont="1" applyFill="1" applyBorder="1" applyAlignment="1">
      <alignment horizontal="left" vertical="center" wrapText="1"/>
    </xf>
    <xf numFmtId="165" fontId="42" fillId="10" borderId="1" xfId="3" applyNumberFormat="1" applyFont="1" applyFill="1" applyBorder="1" applyAlignment="1">
      <alignment horizontal="center" vertical="center" wrapText="1"/>
    </xf>
    <xf numFmtId="0" fontId="37" fillId="10" borderId="1" xfId="0" applyFont="1" applyFill="1" applyBorder="1" applyAlignment="1">
      <alignment vertical="center" wrapText="1"/>
    </xf>
    <xf numFmtId="0" fontId="40" fillId="5" borderId="1" xfId="0" applyFont="1" applyFill="1" applyBorder="1" applyAlignment="1">
      <alignment horizontal="center" vertical="center" wrapText="1"/>
    </xf>
    <xf numFmtId="2" fontId="39" fillId="5" borderId="1" xfId="0" applyNumberFormat="1" applyFont="1" applyFill="1" applyBorder="1" applyAlignment="1">
      <alignment horizontal="center" vertical="center" wrapText="1"/>
    </xf>
    <xf numFmtId="0" fontId="45" fillId="5" borderId="1" xfId="0" applyFont="1" applyFill="1" applyBorder="1" applyAlignment="1">
      <alignment horizontal="center" vertical="center" wrapText="1" readingOrder="1"/>
    </xf>
    <xf numFmtId="0" fontId="45" fillId="5" borderId="1" xfId="0" applyFont="1" applyFill="1" applyBorder="1" applyAlignment="1">
      <alignment horizontal="center" vertical="center" wrapText="1"/>
    </xf>
    <xf numFmtId="0" fontId="46" fillId="9" borderId="0" xfId="0" applyFont="1" applyFill="1" applyAlignment="1">
      <alignment horizontal="center" vertical="center" readingOrder="1"/>
    </xf>
    <xf numFmtId="0" fontId="40"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39" fillId="6" borderId="1" xfId="0" applyFont="1" applyFill="1" applyBorder="1" applyAlignment="1">
      <alignment horizontal="center" vertical="center" wrapText="1"/>
    </xf>
    <xf numFmtId="3" fontId="44" fillId="6" borderId="1" xfId="3" applyNumberFormat="1" applyFont="1" applyFill="1" applyBorder="1" applyAlignment="1">
      <alignment horizontal="center" vertical="center" wrapText="1"/>
    </xf>
    <xf numFmtId="2" fontId="42" fillId="6" borderId="1" xfId="3" applyNumberFormat="1" applyFont="1" applyFill="1" applyBorder="1" applyAlignment="1">
      <alignment horizontal="center" vertical="center" wrapText="1"/>
    </xf>
    <xf numFmtId="2" fontId="44" fillId="6" borderId="1" xfId="3" applyNumberFormat="1" applyFont="1" applyFill="1" applyBorder="1" applyAlignment="1">
      <alignment horizontal="center" vertical="center" wrapText="1"/>
    </xf>
    <xf numFmtId="2" fontId="39" fillId="6" borderId="1" xfId="1" applyNumberFormat="1" applyFont="1" applyFill="1" applyBorder="1" applyAlignment="1">
      <alignment horizontal="center" vertical="center" wrapText="1"/>
    </xf>
    <xf numFmtId="164" fontId="42" fillId="6" borderId="1" xfId="3" applyNumberFormat="1" applyFont="1" applyFill="1" applyBorder="1" applyAlignment="1">
      <alignment horizontal="center" vertical="center" wrapText="1"/>
    </xf>
    <xf numFmtId="0" fontId="39" fillId="6" borderId="1" xfId="0" applyFont="1" applyFill="1" applyBorder="1" applyAlignment="1">
      <alignment horizontal="left" vertical="center" wrapText="1"/>
    </xf>
    <xf numFmtId="0" fontId="40"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45" fillId="11" borderId="1" xfId="0" applyFont="1" applyFill="1" applyBorder="1" applyAlignment="1">
      <alignment vertical="center" wrapText="1" readingOrder="1"/>
    </xf>
    <xf numFmtId="0" fontId="40" fillId="11" borderId="1" xfId="0" applyFont="1" applyFill="1" applyBorder="1" applyAlignment="1">
      <alignment vertical="center" wrapText="1"/>
    </xf>
    <xf numFmtId="2" fontId="39" fillId="11" borderId="1" xfId="0" applyNumberFormat="1" applyFont="1" applyFill="1" applyBorder="1" applyAlignment="1">
      <alignment horizontal="center" vertical="center" wrapText="1"/>
    </xf>
    <xf numFmtId="2" fontId="39" fillId="11" borderId="1" xfId="0" applyNumberFormat="1" applyFont="1" applyFill="1" applyBorder="1" applyAlignment="1">
      <alignment vertical="center" wrapText="1"/>
    </xf>
    <xf numFmtId="0" fontId="39" fillId="11" borderId="1" xfId="0" applyFont="1" applyFill="1" applyBorder="1" applyAlignment="1">
      <alignment vertical="center" wrapText="1"/>
    </xf>
    <xf numFmtId="0" fontId="48" fillId="9" borderId="1" xfId="0" applyFont="1" applyFill="1" applyBorder="1" applyAlignment="1">
      <alignment horizontal="center" vertical="center" readingOrder="1"/>
    </xf>
    <xf numFmtId="0" fontId="39" fillId="9" borderId="0" xfId="0" applyFont="1" applyFill="1" applyAlignment="1">
      <alignment horizontal="center" vertical="center" wrapText="1"/>
    </xf>
    <xf numFmtId="0" fontId="39" fillId="9" borderId="1" xfId="0" applyFont="1" applyFill="1" applyBorder="1" applyAlignment="1">
      <alignment horizontal="center" vertical="center"/>
    </xf>
    <xf numFmtId="2" fontId="39" fillId="5" borderId="1" xfId="0" applyNumberFormat="1" applyFont="1" applyFill="1" applyBorder="1" applyAlignment="1">
      <alignment horizontal="center" vertical="center"/>
    </xf>
    <xf numFmtId="0" fontId="40" fillId="9" borderId="1" xfId="1" applyFont="1" applyFill="1" applyBorder="1" applyAlignment="1">
      <alignment horizontal="center" vertical="center" wrapText="1"/>
    </xf>
    <xf numFmtId="2" fontId="40" fillId="9" borderId="1" xfId="1" applyNumberFormat="1" applyFont="1" applyFill="1" applyBorder="1" applyAlignment="1">
      <alignment horizontal="center" vertical="center" wrapText="1"/>
    </xf>
    <xf numFmtId="164" fontId="39" fillId="9" borderId="1" xfId="1"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40" fillId="6" borderId="1" xfId="1" applyFont="1" applyFill="1" applyBorder="1" applyAlignment="1">
      <alignment horizontal="center" vertical="center" wrapText="1"/>
    </xf>
    <xf numFmtId="2" fontId="40" fillId="6" borderId="1" xfId="1" applyNumberFormat="1" applyFont="1" applyFill="1" applyBorder="1" applyAlignment="1">
      <alignment horizontal="center" vertical="center" wrapText="1"/>
    </xf>
    <xf numFmtId="3" fontId="40" fillId="9" borderId="1" xfId="1" applyNumberFormat="1" applyFont="1" applyFill="1" applyBorder="1" applyAlignment="1">
      <alignment horizontal="center" vertical="center" wrapText="1"/>
    </xf>
    <xf numFmtId="4" fontId="42" fillId="9" borderId="1" xfId="3" applyNumberFormat="1" applyFont="1" applyFill="1" applyBorder="1" applyAlignment="1">
      <alignment horizontal="center" vertical="center" wrapText="1"/>
    </xf>
    <xf numFmtId="0" fontId="8" fillId="10" borderId="1" xfId="0" applyFont="1" applyFill="1" applyBorder="1" applyAlignment="1">
      <alignment horizontal="center" vertical="center"/>
    </xf>
    <xf numFmtId="0" fontId="39" fillId="10" borderId="1" xfId="0" applyFont="1" applyFill="1" applyBorder="1" applyAlignment="1">
      <alignment horizontal="left" vertical="center"/>
    </xf>
    <xf numFmtId="0" fontId="39" fillId="10" borderId="1" xfId="0" applyFont="1" applyFill="1" applyBorder="1" applyAlignment="1">
      <alignment vertical="center" wrapText="1"/>
    </xf>
    <xf numFmtId="0" fontId="8" fillId="5" borderId="1" xfId="0" applyFont="1" applyFill="1" applyBorder="1" applyAlignment="1">
      <alignment horizontal="center" vertical="center"/>
    </xf>
    <xf numFmtId="0" fontId="48" fillId="6" borderId="1" xfId="0" applyFont="1" applyFill="1" applyBorder="1" applyAlignment="1">
      <alignment horizontal="center" vertical="center" readingOrder="1"/>
    </xf>
    <xf numFmtId="0" fontId="39" fillId="6" borderId="1" xfId="0" applyFont="1" applyFill="1" applyBorder="1" applyAlignment="1">
      <alignment horizontal="center" vertical="center"/>
    </xf>
    <xf numFmtId="2" fontId="39" fillId="6" borderId="1" xfId="0" applyNumberFormat="1" applyFont="1" applyFill="1" applyBorder="1" applyAlignment="1">
      <alignment horizontal="center" vertical="center"/>
    </xf>
    <xf numFmtId="0" fontId="47" fillId="9" borderId="1" xfId="0" applyFont="1" applyFill="1" applyBorder="1" applyAlignment="1">
      <alignment horizontal="center" vertical="center" wrapText="1"/>
    </xf>
    <xf numFmtId="2" fontId="39" fillId="9" borderId="1" xfId="0" applyNumberFormat="1" applyFont="1" applyFill="1" applyBorder="1" applyAlignment="1">
      <alignment vertical="center"/>
    </xf>
    <xf numFmtId="0" fontId="39" fillId="9" borderId="1" xfId="0" applyFont="1" applyFill="1" applyBorder="1" applyAlignment="1">
      <alignment vertical="center"/>
    </xf>
    <xf numFmtId="0" fontId="39" fillId="9" borderId="1" xfId="0" applyFont="1" applyFill="1" applyBorder="1" applyAlignment="1">
      <alignment vertical="center" wrapText="1"/>
    </xf>
    <xf numFmtId="0" fontId="40"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38" fillId="11" borderId="1" xfId="0" applyFont="1" applyFill="1" applyBorder="1" applyAlignment="1">
      <alignment horizontal="center" vertical="center" wrapText="1"/>
    </xf>
    <xf numFmtId="0" fontId="40" fillId="14" borderId="1" xfId="0" applyFont="1" applyFill="1" applyBorder="1" applyAlignment="1">
      <alignment horizontal="center" vertical="center"/>
    </xf>
    <xf numFmtId="0" fontId="49" fillId="14" borderId="1" xfId="0" applyFont="1" applyFill="1" applyBorder="1" applyAlignment="1">
      <alignment horizontal="center" vertical="center" wrapText="1"/>
    </xf>
    <xf numFmtId="0" fontId="50" fillId="14" borderId="1" xfId="0" applyFont="1" applyFill="1" applyBorder="1" applyAlignment="1">
      <alignment horizontal="center" vertical="center" wrapText="1"/>
    </xf>
    <xf numFmtId="0" fontId="42" fillId="14" borderId="1" xfId="0" applyFont="1" applyFill="1" applyBorder="1" applyAlignment="1">
      <alignment horizontal="center" vertical="center" wrapText="1"/>
    </xf>
    <xf numFmtId="2" fontId="50" fillId="14" borderId="1" xfId="0" applyNumberFormat="1" applyFont="1" applyFill="1" applyBorder="1" applyAlignment="1">
      <alignment horizontal="center" vertical="center" wrapText="1"/>
    </xf>
    <xf numFmtId="14" fontId="50" fillId="14" borderId="1" xfId="0" applyNumberFormat="1" applyFont="1" applyFill="1" applyBorder="1" applyAlignment="1">
      <alignment horizontal="center" vertical="center" wrapText="1"/>
    </xf>
    <xf numFmtId="0" fontId="49" fillId="14" borderId="1" xfId="0" applyFont="1" applyFill="1" applyBorder="1" applyAlignment="1">
      <alignment horizontal="center" vertical="center"/>
    </xf>
    <xf numFmtId="0" fontId="37" fillId="14" borderId="1" xfId="0" applyFont="1" applyFill="1" applyBorder="1" applyAlignment="1">
      <alignment horizontal="center" vertical="center" wrapText="1"/>
    </xf>
    <xf numFmtId="0" fontId="36" fillId="14" borderId="4" xfId="0" applyFont="1" applyFill="1" applyBorder="1" applyAlignment="1">
      <alignment horizontal="center" vertical="center" wrapText="1"/>
    </xf>
    <xf numFmtId="0" fontId="36" fillId="14" borderId="1" xfId="0" applyFont="1" applyFill="1" applyBorder="1" applyAlignment="1">
      <alignment horizontal="center" vertical="center" wrapText="1"/>
    </xf>
    <xf numFmtId="0" fontId="39" fillId="14" borderId="1" xfId="0" applyFont="1" applyFill="1" applyBorder="1" applyAlignment="1">
      <alignment horizontal="center" vertical="center"/>
    </xf>
    <xf numFmtId="0" fontId="38" fillId="14" borderId="1" xfId="0" applyFont="1" applyFill="1" applyBorder="1" applyAlignment="1">
      <alignment horizontal="center" vertical="center" wrapText="1"/>
    </xf>
    <xf numFmtId="4" fontId="38" fillId="14" borderId="1" xfId="0" applyNumberFormat="1" applyFont="1" applyFill="1" applyBorder="1" applyAlignment="1">
      <alignment horizontal="center" vertical="center" wrapText="1"/>
    </xf>
    <xf numFmtId="0" fontId="39" fillId="14" borderId="1" xfId="0" applyFont="1" applyFill="1" applyBorder="1" applyAlignment="1">
      <alignment horizontal="center" vertical="center" wrapText="1"/>
    </xf>
    <xf numFmtId="0" fontId="38" fillId="14" borderId="1" xfId="0" applyFont="1" applyFill="1" applyBorder="1" applyAlignment="1">
      <alignment horizontal="center" vertical="center"/>
    </xf>
    <xf numFmtId="0" fontId="40" fillId="14"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2" fontId="39" fillId="14" borderId="1" xfId="0" applyNumberFormat="1" applyFont="1" applyFill="1" applyBorder="1" applyAlignment="1">
      <alignment horizontal="center" vertical="center"/>
    </xf>
    <xf numFmtId="0" fontId="47" fillId="14" borderId="1" xfId="0" applyFont="1" applyFill="1" applyBorder="1" applyAlignment="1">
      <alignment horizontal="center" vertical="center" wrapText="1"/>
    </xf>
    <xf numFmtId="0" fontId="39" fillId="1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1" fillId="4" borderId="1" xfId="0" applyFont="1" applyFill="1" applyBorder="1" applyAlignment="1">
      <alignment horizontal="center" vertical="center" wrapText="1"/>
    </xf>
    <xf numFmtId="0" fontId="51" fillId="14" borderId="1" xfId="0" applyFont="1" applyFill="1" applyBorder="1" applyAlignment="1">
      <alignment horizontal="center" vertical="center" wrapText="1"/>
    </xf>
    <xf numFmtId="0" fontId="52" fillId="14" borderId="1" xfId="0" applyFont="1" applyFill="1" applyBorder="1" applyAlignment="1">
      <alignment horizontal="center" vertical="center" wrapText="1"/>
    </xf>
    <xf numFmtId="0" fontId="52" fillId="14" borderId="1" xfId="0" applyFont="1" applyFill="1" applyBorder="1" applyAlignment="1">
      <alignment horizontal="center" vertical="center"/>
    </xf>
    <xf numFmtId="0" fontId="53" fillId="14" borderId="1" xfId="0" applyFont="1" applyFill="1" applyBorder="1" applyAlignment="1">
      <alignment horizontal="center" vertical="center" wrapText="1"/>
    </xf>
    <xf numFmtId="0" fontId="53" fillId="14" borderId="1" xfId="0" applyFont="1" applyFill="1" applyBorder="1" applyAlignment="1">
      <alignment horizontal="center" vertical="center"/>
    </xf>
    <xf numFmtId="0" fontId="0" fillId="4" borderId="1" xfId="0" applyFill="1" applyBorder="1"/>
    <xf numFmtId="0" fontId="26"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0" fontId="55" fillId="4" borderId="1" xfId="0" applyFont="1" applyFill="1" applyBorder="1" applyAlignment="1">
      <alignment horizontal="center" vertical="center"/>
    </xf>
    <xf numFmtId="0" fontId="25" fillId="5" borderId="1" xfId="0" applyFont="1" applyFill="1" applyBorder="1" applyAlignment="1">
      <alignment horizontal="center" vertical="center"/>
    </xf>
    <xf numFmtId="0" fontId="2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30" fillId="5" borderId="1" xfId="3" applyFont="1" applyFill="1" applyBorder="1" applyAlignment="1">
      <alignment horizontal="center" vertical="center" wrapText="1"/>
    </xf>
    <xf numFmtId="2" fontId="55" fillId="5" borderId="1" xfId="3" applyNumberFormat="1" applyFont="1" applyFill="1" applyBorder="1" applyAlignment="1">
      <alignment horizontal="center" vertical="center" wrapText="1"/>
    </xf>
    <xf numFmtId="2" fontId="30" fillId="5" borderId="1" xfId="3" applyNumberFormat="1" applyFont="1" applyFill="1" applyBorder="1" applyAlignment="1">
      <alignment horizontal="center" vertical="center" wrapText="1"/>
    </xf>
    <xf numFmtId="165" fontId="55" fillId="5" borderId="1" xfId="3" applyNumberFormat="1" applyFont="1" applyFill="1" applyBorder="1" applyAlignment="1">
      <alignment horizontal="center" vertical="center" wrapText="1"/>
    </xf>
    <xf numFmtId="164" fontId="55" fillId="5" borderId="1" xfId="3" applyNumberFormat="1" applyFont="1" applyFill="1" applyBorder="1" applyAlignment="1">
      <alignment horizontal="left" vertical="center" wrapText="1"/>
    </xf>
    <xf numFmtId="14" fontId="55" fillId="5" borderId="1" xfId="1" applyNumberFormat="1" applyFont="1" applyFill="1" applyBorder="1" applyAlignment="1">
      <alignment horizontal="center" vertical="center" wrapText="1"/>
    </xf>
    <xf numFmtId="0" fontId="25" fillId="11" borderId="1" xfId="0" applyFont="1" applyFill="1" applyBorder="1" applyAlignment="1">
      <alignment horizontal="center" vertical="center"/>
    </xf>
    <xf numFmtId="0" fontId="57" fillId="11"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3" fontId="30" fillId="11" borderId="1" xfId="3" applyNumberFormat="1" applyFont="1" applyFill="1" applyBorder="1" applyAlignment="1">
      <alignment horizontal="center" vertical="center" wrapText="1"/>
    </xf>
    <xf numFmtId="2" fontId="55" fillId="11" borderId="1" xfId="3" applyNumberFormat="1" applyFont="1" applyFill="1" applyBorder="1" applyAlignment="1">
      <alignment horizontal="center" vertical="center" wrapText="1"/>
    </xf>
    <xf numFmtId="2" fontId="30" fillId="11" borderId="1" xfId="3" applyNumberFormat="1" applyFont="1" applyFill="1" applyBorder="1" applyAlignment="1">
      <alignment horizontal="center" vertical="center" wrapText="1"/>
    </xf>
    <xf numFmtId="2" fontId="7" fillId="11" borderId="1" xfId="1" applyNumberFormat="1" applyFont="1" applyFill="1" applyBorder="1" applyAlignment="1">
      <alignment horizontal="center" vertical="center" wrapText="1"/>
    </xf>
    <xf numFmtId="164" fontId="55" fillId="11" borderId="1" xfId="3" applyNumberFormat="1" applyFont="1" applyFill="1" applyBorder="1" applyAlignment="1">
      <alignment horizontal="center" vertical="center" wrapText="1"/>
    </xf>
    <xf numFmtId="164" fontId="55" fillId="11" borderId="1" xfId="3" applyNumberFormat="1" applyFont="1" applyFill="1" applyBorder="1" applyAlignment="1">
      <alignment horizontal="left" vertical="center" wrapText="1"/>
    </xf>
    <xf numFmtId="14" fontId="55" fillId="11" borderId="1" xfId="1" applyNumberFormat="1" applyFont="1" applyFill="1" applyBorder="1" applyAlignment="1">
      <alignment horizontal="center" vertical="center" wrapText="1"/>
    </xf>
    <xf numFmtId="0" fontId="25" fillId="9" borderId="1" xfId="0" applyFont="1" applyFill="1" applyBorder="1" applyAlignment="1">
      <alignment horizontal="center" vertical="center"/>
    </xf>
    <xf numFmtId="0" fontId="57"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3" fontId="30" fillId="9" borderId="1" xfId="3" applyNumberFormat="1" applyFont="1" applyFill="1" applyBorder="1" applyAlignment="1">
      <alignment horizontal="center" vertical="center" wrapText="1"/>
    </xf>
    <xf numFmtId="2" fontId="55" fillId="9" borderId="1" xfId="3" applyNumberFormat="1" applyFont="1" applyFill="1" applyBorder="1" applyAlignment="1">
      <alignment horizontal="center" vertical="center" wrapText="1"/>
    </xf>
    <xf numFmtId="2" fontId="30" fillId="9" borderId="1" xfId="3" applyNumberFormat="1" applyFont="1" applyFill="1" applyBorder="1" applyAlignment="1">
      <alignment horizontal="center" vertical="center" wrapText="1"/>
    </xf>
    <xf numFmtId="2" fontId="7" fillId="9" borderId="1" xfId="1" applyNumberFormat="1" applyFont="1" applyFill="1" applyBorder="1" applyAlignment="1">
      <alignment horizontal="center" vertical="center" wrapText="1"/>
    </xf>
    <xf numFmtId="164" fontId="55" fillId="9" borderId="1" xfId="3" applyNumberFormat="1" applyFont="1" applyFill="1" applyBorder="1" applyAlignment="1">
      <alignment horizontal="center" vertical="center" wrapText="1"/>
    </xf>
    <xf numFmtId="0" fontId="7" fillId="9" borderId="1" xfId="0" applyFont="1" applyFill="1" applyBorder="1" applyAlignment="1">
      <alignment horizontal="left" vertical="center" wrapText="1"/>
    </xf>
    <xf numFmtId="14" fontId="55" fillId="9" borderId="1" xfId="1" applyNumberFormat="1" applyFont="1" applyFill="1" applyBorder="1" applyAlignment="1">
      <alignment horizontal="center" vertical="center" wrapText="1"/>
    </xf>
    <xf numFmtId="0" fontId="25" fillId="9"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2" fontId="7" fillId="9" borderId="1" xfId="0" applyNumberFormat="1" applyFont="1" applyFill="1" applyBorder="1" applyAlignment="1">
      <alignment horizontal="center" vertical="center" wrapText="1"/>
    </xf>
    <xf numFmtId="0" fontId="58" fillId="9" borderId="1" xfId="0" applyFont="1" applyFill="1" applyBorder="1" applyAlignment="1">
      <alignment horizontal="left" vertical="center" wrapText="1" readingOrder="1"/>
    </xf>
    <xf numFmtId="0" fontId="25"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59" fillId="10" borderId="1" xfId="0" applyFont="1" applyFill="1" applyBorder="1" applyAlignment="1">
      <alignment horizontal="center" vertical="center" wrapText="1"/>
    </xf>
    <xf numFmtId="0" fontId="57" fillId="9" borderId="1" xfId="1" applyFont="1" applyFill="1" applyBorder="1" applyAlignment="1">
      <alignment horizontal="center" vertical="center" wrapText="1"/>
    </xf>
    <xf numFmtId="0" fontId="57" fillId="5" borderId="1" xfId="1" applyFont="1" applyFill="1" applyBorder="1" applyAlignment="1">
      <alignment horizontal="center" vertical="center" wrapText="1"/>
    </xf>
    <xf numFmtId="3" fontId="30" fillId="5" borderId="1" xfId="3" applyNumberFormat="1" applyFont="1" applyFill="1" applyBorder="1" applyAlignment="1">
      <alignment horizontal="center" vertical="center" wrapText="1"/>
    </xf>
    <xf numFmtId="2" fontId="7" fillId="5" borderId="1" xfId="1" applyNumberFormat="1" applyFont="1" applyFill="1" applyBorder="1" applyAlignment="1">
      <alignment horizontal="center" vertical="center" wrapText="1"/>
    </xf>
    <xf numFmtId="0" fontId="7" fillId="5" borderId="1" xfId="0" applyFont="1" applyFill="1" applyBorder="1" applyAlignment="1">
      <alignment horizontal="left" vertical="center" wrapText="1"/>
    </xf>
    <xf numFmtId="0" fontId="57" fillId="11" borderId="1" xfId="1"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30" fillId="9" borderId="1" xfId="3" applyFont="1" applyFill="1" applyBorder="1" applyAlignment="1">
      <alignment horizontal="center" vertical="center" wrapText="1"/>
    </xf>
    <xf numFmtId="0" fontId="30" fillId="11" borderId="1" xfId="3" applyFont="1" applyFill="1" applyBorder="1" applyAlignment="1">
      <alignment horizontal="center" vertical="center" wrapText="1"/>
    </xf>
    <xf numFmtId="0" fontId="25" fillId="8"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30" fillId="8" borderId="1" xfId="3" applyFont="1" applyFill="1" applyBorder="1" applyAlignment="1">
      <alignment horizontal="center" vertical="center" wrapText="1"/>
    </xf>
    <xf numFmtId="2" fontId="55" fillId="8" borderId="1" xfId="3" applyNumberFormat="1" applyFont="1" applyFill="1" applyBorder="1" applyAlignment="1">
      <alignment horizontal="center" vertical="center" wrapText="1"/>
    </xf>
    <xf numFmtId="2" fontId="30" fillId="8" borderId="1" xfId="3" applyNumberFormat="1" applyFont="1" applyFill="1" applyBorder="1" applyAlignment="1">
      <alignment horizontal="center" vertical="center" wrapText="1"/>
    </xf>
    <xf numFmtId="2" fontId="7" fillId="8" borderId="1" xfId="1"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25" fillId="13" borderId="1" xfId="0" applyFont="1" applyFill="1" applyBorder="1" applyAlignment="1">
      <alignment horizontal="center" vertical="center"/>
    </xf>
    <xf numFmtId="0" fontId="7" fillId="13" borderId="1" xfId="0" applyFont="1" applyFill="1" applyBorder="1" applyAlignment="1">
      <alignment horizontal="center" vertical="center" wrapText="1"/>
    </xf>
    <xf numFmtId="0" fontId="30" fillId="13" borderId="1" xfId="3" applyFont="1" applyFill="1" applyBorder="1" applyAlignment="1">
      <alignment horizontal="center" vertical="center" wrapText="1"/>
    </xf>
    <xf numFmtId="2" fontId="55" fillId="13" borderId="1" xfId="3" applyNumberFormat="1" applyFont="1" applyFill="1" applyBorder="1" applyAlignment="1">
      <alignment horizontal="center" vertical="center" wrapText="1"/>
    </xf>
    <xf numFmtId="2" fontId="59" fillId="13" borderId="1" xfId="0" applyNumberFormat="1" applyFont="1" applyFill="1" applyBorder="1" applyAlignment="1">
      <alignment horizontal="center" vertical="center" wrapText="1"/>
    </xf>
    <xf numFmtId="2" fontId="30" fillId="13" borderId="1" xfId="3" applyNumberFormat="1" applyFont="1" applyFill="1" applyBorder="1" applyAlignment="1">
      <alignment horizontal="center" vertical="center" wrapText="1"/>
    </xf>
    <xf numFmtId="2" fontId="7" fillId="13" borderId="1" xfId="1" applyNumberFormat="1" applyFont="1" applyFill="1" applyBorder="1" applyAlignment="1">
      <alignment horizontal="center" vertical="center" wrapText="1"/>
    </xf>
    <xf numFmtId="0" fontId="7" fillId="4" borderId="1" xfId="0" applyFont="1" applyFill="1" applyBorder="1" applyAlignment="1">
      <alignment horizontal="center" vertical="center"/>
    </xf>
    <xf numFmtId="0" fontId="60" fillId="5" borderId="1" xfId="0" applyFont="1" applyFill="1" applyBorder="1" applyAlignment="1">
      <alignment horizontal="center" vertical="center"/>
    </xf>
    <xf numFmtId="0" fontId="7" fillId="5" borderId="1" xfId="0" applyFont="1" applyFill="1" applyBorder="1" applyAlignment="1">
      <alignment horizontal="center" vertical="center"/>
    </xf>
    <xf numFmtId="164" fontId="55" fillId="5" borderId="1" xfId="3" applyNumberFormat="1" applyFont="1" applyFill="1" applyBorder="1" applyAlignment="1">
      <alignment horizontal="center" vertical="center" wrapText="1"/>
    </xf>
    <xf numFmtId="0" fontId="58" fillId="9" borderId="1" xfId="0" applyFont="1" applyFill="1" applyBorder="1" applyAlignment="1">
      <alignment horizontal="center" vertical="center" wrapText="1" readingOrder="1"/>
    </xf>
    <xf numFmtId="164" fontId="55" fillId="9" borderId="1" xfId="3" applyNumberFormat="1" applyFont="1" applyFill="1" applyBorder="1" applyAlignment="1">
      <alignment horizontal="left" vertical="center" wrapText="1"/>
    </xf>
    <xf numFmtId="0" fontId="7" fillId="9" borderId="1" xfId="0" applyFont="1" applyFill="1" applyBorder="1" applyAlignment="1">
      <alignment horizontal="center" vertical="center"/>
    </xf>
    <xf numFmtId="2" fontId="7" fillId="9" borderId="1" xfId="0" applyNumberFormat="1" applyFont="1" applyFill="1" applyBorder="1" applyAlignment="1">
      <alignment vertical="center"/>
    </xf>
    <xf numFmtId="2" fontId="7" fillId="9" borderId="1" xfId="0" applyNumberFormat="1" applyFont="1" applyFill="1" applyBorder="1" applyAlignment="1">
      <alignment horizontal="center" vertical="center"/>
    </xf>
    <xf numFmtId="0" fontId="7" fillId="9" borderId="1" xfId="0" applyFont="1" applyFill="1" applyBorder="1" applyAlignment="1">
      <alignment vertical="center"/>
    </xf>
    <xf numFmtId="0" fontId="7" fillId="9" borderId="1" xfId="0" applyFont="1" applyFill="1" applyBorder="1" applyAlignment="1">
      <alignment vertical="center" wrapText="1"/>
    </xf>
    <xf numFmtId="164" fontId="55" fillId="10" borderId="1" xfId="3" applyNumberFormat="1" applyFont="1" applyFill="1" applyBorder="1" applyAlignment="1">
      <alignment horizontal="center" vertical="center" wrapText="1"/>
    </xf>
    <xf numFmtId="0" fontId="61" fillId="9" borderId="1" xfId="0" applyFont="1" applyFill="1" applyBorder="1" applyAlignment="1">
      <alignment horizontal="center" vertical="center" wrapText="1"/>
    </xf>
    <xf numFmtId="0" fontId="25" fillId="7" borderId="1" xfId="0" applyFont="1" applyFill="1" applyBorder="1" applyAlignment="1">
      <alignment horizontal="center" vertical="center"/>
    </xf>
    <xf numFmtId="2" fontId="55" fillId="7" borderId="1" xfId="3" applyNumberFormat="1" applyFont="1" applyFill="1" applyBorder="1" applyAlignment="1">
      <alignment horizontal="center" vertical="center" wrapText="1"/>
    </xf>
    <xf numFmtId="2" fontId="7" fillId="7" borderId="1" xfId="1" applyNumberFormat="1" applyFont="1" applyFill="1" applyBorder="1" applyAlignment="1">
      <alignment horizontal="center" vertical="center" wrapText="1"/>
    </xf>
    <xf numFmtId="164" fontId="55" fillId="7" borderId="1" xfId="3" applyNumberFormat="1" applyFont="1" applyFill="1" applyBorder="1" applyAlignment="1">
      <alignment horizontal="center" vertical="center" wrapText="1"/>
    </xf>
    <xf numFmtId="2" fontId="25" fillId="9" borderId="1" xfId="0" applyNumberFormat="1" applyFont="1" applyFill="1" applyBorder="1" applyAlignment="1">
      <alignment horizontal="center" vertical="center"/>
    </xf>
    <xf numFmtId="0" fontId="58" fillId="9"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55" fillId="7" borderId="1" xfId="1" applyFont="1" applyFill="1" applyBorder="1" applyAlignment="1">
      <alignment horizontal="center" vertical="center" wrapText="1"/>
    </xf>
    <xf numFmtId="0" fontId="30" fillId="7" borderId="1" xfId="3" applyFont="1" applyFill="1" applyBorder="1" applyAlignment="1">
      <alignment horizontal="center" vertical="center" wrapText="1"/>
    </xf>
    <xf numFmtId="2" fontId="30" fillId="7" borderId="1" xfId="3" applyNumberFormat="1" applyFont="1" applyFill="1" applyBorder="1" applyAlignment="1">
      <alignment horizontal="center" vertical="center" wrapText="1"/>
    </xf>
    <xf numFmtId="2" fontId="7" fillId="7" borderId="1" xfId="0" applyNumberFormat="1" applyFont="1" applyFill="1" applyBorder="1" applyAlignment="1">
      <alignment horizontal="center" vertical="center"/>
    </xf>
    <xf numFmtId="0" fontId="59" fillId="7" borderId="1" xfId="0" applyFont="1" applyFill="1" applyBorder="1" applyAlignment="1">
      <alignment horizontal="left" vertical="center" wrapText="1"/>
    </xf>
    <xf numFmtId="165" fontId="55" fillId="7" borderId="1" xfId="3" applyNumberFormat="1" applyFont="1" applyFill="1" applyBorder="1" applyAlignment="1">
      <alignment horizontal="center" vertical="center" wrapText="1"/>
    </xf>
    <xf numFmtId="0" fontId="25" fillId="10" borderId="1" xfId="0" applyFont="1" applyFill="1" applyBorder="1" applyAlignment="1">
      <alignment horizontal="center" vertical="center" wrapText="1"/>
    </xf>
    <xf numFmtId="165" fontId="55" fillId="9" borderId="1" xfId="3" applyNumberFormat="1" applyFont="1" applyFill="1" applyBorder="1" applyAlignment="1">
      <alignment horizontal="center" vertical="center" wrapText="1"/>
    </xf>
    <xf numFmtId="165" fontId="55" fillId="10" borderId="1" xfId="3" applyNumberFormat="1" applyFont="1" applyFill="1" applyBorder="1" applyAlignment="1">
      <alignment horizontal="center" vertical="center" wrapText="1"/>
    </xf>
    <xf numFmtId="0" fontId="25" fillId="5" borderId="1" xfId="0" applyFont="1" applyFill="1" applyBorder="1" applyAlignment="1">
      <alignment horizontal="center" vertical="center" wrapText="1"/>
    </xf>
    <xf numFmtId="2" fontId="7" fillId="5" borderId="1" xfId="0" applyNumberFormat="1" applyFont="1" applyFill="1" applyBorder="1" applyAlignment="1">
      <alignment horizontal="center" vertical="center" wrapText="1"/>
    </xf>
    <xf numFmtId="0" fontId="58" fillId="5" borderId="1" xfId="0" applyFont="1" applyFill="1" applyBorder="1" applyAlignment="1">
      <alignment horizontal="center" vertical="center" wrapText="1" readingOrder="1"/>
    </xf>
    <xf numFmtId="0" fontId="58" fillId="5" borderId="1" xfId="0" applyFont="1" applyFill="1" applyBorder="1" applyAlignment="1">
      <alignment horizontal="center" vertical="center" wrapText="1"/>
    </xf>
    <xf numFmtId="0" fontId="60" fillId="9" borderId="0" xfId="0" applyFont="1" applyFill="1" applyAlignment="1">
      <alignment horizontal="center" vertical="center" readingOrder="1"/>
    </xf>
    <xf numFmtId="0" fontId="25"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2" fontId="55" fillId="6" borderId="1" xfId="3" applyNumberFormat="1" applyFont="1" applyFill="1" applyBorder="1" applyAlignment="1">
      <alignment horizontal="center" vertical="center" wrapText="1"/>
    </xf>
    <xf numFmtId="2" fontId="7" fillId="6" borderId="1" xfId="1" applyNumberFormat="1" applyFont="1" applyFill="1" applyBorder="1" applyAlignment="1">
      <alignment horizontal="center" vertical="center" wrapText="1"/>
    </xf>
    <xf numFmtId="164" fontId="55" fillId="6" borderId="1" xfId="3" applyNumberFormat="1" applyFont="1" applyFill="1" applyBorder="1" applyAlignment="1">
      <alignment horizontal="center" vertical="center" wrapText="1"/>
    </xf>
    <xf numFmtId="0" fontId="7" fillId="6" borderId="1" xfId="0" applyFont="1" applyFill="1" applyBorder="1" applyAlignment="1">
      <alignment horizontal="left" vertical="center" wrapText="1"/>
    </xf>
    <xf numFmtId="0" fontId="25" fillId="11" borderId="1" xfId="0" applyFont="1" applyFill="1" applyBorder="1" applyAlignment="1">
      <alignment horizontal="center" vertical="center" wrapText="1"/>
    </xf>
    <xf numFmtId="0" fontId="26" fillId="11" borderId="1" xfId="0" applyFont="1" applyFill="1" applyBorder="1" applyAlignment="1">
      <alignment horizontal="center" vertical="center" wrapText="1"/>
    </xf>
    <xf numFmtId="0" fontId="58" fillId="11" borderId="1" xfId="0" applyFont="1" applyFill="1" applyBorder="1" applyAlignment="1">
      <alignment vertical="center" wrapText="1" readingOrder="1"/>
    </xf>
    <xf numFmtId="0" fontId="25" fillId="11" borderId="1" xfId="0" applyFont="1" applyFill="1" applyBorder="1" applyAlignment="1">
      <alignment vertical="center" wrapText="1"/>
    </xf>
    <xf numFmtId="2" fontId="7" fillId="11" borderId="1" xfId="0" applyNumberFormat="1" applyFont="1" applyFill="1" applyBorder="1" applyAlignment="1">
      <alignment horizontal="center" vertical="center" wrapText="1"/>
    </xf>
    <xf numFmtId="2" fontId="7" fillId="11" borderId="1" xfId="0" applyNumberFormat="1" applyFont="1" applyFill="1" applyBorder="1" applyAlignment="1">
      <alignment vertical="center" wrapText="1"/>
    </xf>
    <xf numFmtId="0" fontId="7" fillId="11" borderId="1" xfId="0" applyFont="1" applyFill="1" applyBorder="1" applyAlignment="1">
      <alignment vertical="center" wrapText="1"/>
    </xf>
    <xf numFmtId="0" fontId="62" fillId="9" borderId="1" xfId="0" applyFont="1" applyFill="1" applyBorder="1" applyAlignment="1">
      <alignment horizontal="center" vertical="center" readingOrder="1"/>
    </xf>
    <xf numFmtId="0" fontId="7" fillId="9" borderId="0" xfId="0" applyFont="1" applyFill="1" applyAlignment="1">
      <alignment horizontal="center" vertical="center" wrapText="1"/>
    </xf>
    <xf numFmtId="2" fontId="7" fillId="5" borderId="1" xfId="0" applyNumberFormat="1" applyFont="1" applyFill="1" applyBorder="1" applyAlignment="1">
      <alignment horizontal="center" vertical="center"/>
    </xf>
    <xf numFmtId="0" fontId="25" fillId="9" borderId="1" xfId="1" applyFont="1" applyFill="1" applyBorder="1" applyAlignment="1">
      <alignment horizontal="center" vertical="center" wrapText="1"/>
    </xf>
    <xf numFmtId="2" fontId="25" fillId="9" borderId="1" xfId="1" applyNumberFormat="1" applyFont="1" applyFill="1" applyBorder="1" applyAlignment="1">
      <alignment horizontal="center" vertical="center" wrapText="1"/>
    </xf>
    <xf numFmtId="164" fontId="7" fillId="9" borderId="1" xfId="1" applyNumberFormat="1" applyFont="1" applyFill="1" applyBorder="1" applyAlignment="1">
      <alignment horizontal="center" vertical="center" wrapText="1"/>
    </xf>
    <xf numFmtId="0" fontId="26" fillId="6" borderId="1" xfId="0" applyFont="1" applyFill="1" applyBorder="1" applyAlignment="1">
      <alignment horizontal="center" vertical="center" wrapText="1"/>
    </xf>
    <xf numFmtId="0" fontId="25" fillId="6" borderId="1" xfId="1" applyFont="1" applyFill="1" applyBorder="1" applyAlignment="1">
      <alignment horizontal="center" vertical="center" wrapText="1"/>
    </xf>
    <xf numFmtId="2" fontId="25" fillId="6" borderId="1" xfId="1" applyNumberFormat="1" applyFont="1" applyFill="1" applyBorder="1" applyAlignment="1">
      <alignment horizontal="center" vertical="center" wrapText="1"/>
    </xf>
    <xf numFmtId="3" fontId="25" fillId="9" borderId="1" xfId="1" applyNumberFormat="1" applyFont="1" applyFill="1" applyBorder="1" applyAlignment="1">
      <alignment horizontal="center" vertical="center" wrapText="1"/>
    </xf>
    <xf numFmtId="4" fontId="55" fillId="9" borderId="1" xfId="3" applyNumberFormat="1" applyFont="1" applyFill="1" applyBorder="1" applyAlignment="1">
      <alignment horizontal="center" vertical="center" wrapText="1"/>
    </xf>
    <xf numFmtId="0" fontId="7" fillId="10" borderId="1" xfId="0" applyFont="1" applyFill="1" applyBorder="1" applyAlignment="1">
      <alignment vertical="center" wrapText="1"/>
    </xf>
    <xf numFmtId="0" fontId="26" fillId="5" borderId="1" xfId="0" applyFont="1" applyFill="1" applyBorder="1" applyAlignment="1">
      <alignment horizontal="center" vertical="center"/>
    </xf>
    <xf numFmtId="0" fontId="7" fillId="0" borderId="1" xfId="0" applyFont="1" applyBorder="1" applyAlignment="1">
      <alignment horizontal="center" vertical="center" wrapText="1"/>
    </xf>
    <xf numFmtId="0" fontId="25" fillId="14"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62" fillId="6" borderId="1" xfId="0" applyFont="1" applyFill="1" applyBorder="1" applyAlignment="1">
      <alignment horizontal="center" vertical="center" readingOrder="1"/>
    </xf>
    <xf numFmtId="0" fontId="7" fillId="6" borderId="1" xfId="0" applyFont="1" applyFill="1" applyBorder="1" applyAlignment="1">
      <alignment horizontal="center" vertical="center"/>
    </xf>
    <xf numFmtId="2" fontId="7" fillId="6" borderId="1" xfId="0" applyNumberFormat="1" applyFont="1" applyFill="1" applyBorder="1" applyAlignment="1">
      <alignment horizontal="center" vertical="center"/>
    </xf>
    <xf numFmtId="0" fontId="25" fillId="14" borderId="1" xfId="0" applyFont="1" applyFill="1" applyBorder="1" applyAlignment="1">
      <alignment horizontal="center" vertical="center"/>
    </xf>
    <xf numFmtId="0" fontId="65" fillId="14" borderId="4" xfId="0" applyFont="1" applyFill="1" applyBorder="1" applyAlignment="1">
      <alignment horizontal="center" vertical="center" wrapText="1"/>
    </xf>
    <xf numFmtId="0" fontId="65" fillId="14" borderId="1" xfId="0" applyFont="1" applyFill="1" applyBorder="1" applyAlignment="1">
      <alignment horizontal="center" vertical="center" wrapText="1"/>
    </xf>
    <xf numFmtId="0" fontId="7" fillId="14" borderId="1" xfId="0" applyFont="1" applyFill="1" applyBorder="1" applyAlignment="1">
      <alignment horizontal="center" vertical="center"/>
    </xf>
    <xf numFmtId="0" fontId="33" fillId="0" borderId="0" xfId="0" applyFont="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0" fontId="2" fillId="5" borderId="4" xfId="0" applyFont="1" applyFill="1" applyBorder="1" applyAlignment="1">
      <alignment horizontal="center" vertical="center" wrapText="1"/>
    </xf>
    <xf numFmtId="0" fontId="2" fillId="5" borderId="1" xfId="0" applyFont="1" applyFill="1" applyBorder="1" applyAlignment="1">
      <alignment vertical="center" wrapText="1"/>
    </xf>
    <xf numFmtId="0" fontId="5" fillId="5" borderId="2" xfId="0" applyFont="1" applyFill="1" applyBorder="1" applyAlignment="1">
      <alignment horizontal="center" vertical="center"/>
    </xf>
    <xf numFmtId="3" fontId="5" fillId="0" borderId="1" xfId="0" applyNumberFormat="1" applyFont="1" applyBorder="1" applyAlignment="1">
      <alignment vertical="center"/>
    </xf>
    <xf numFmtId="0" fontId="2" fillId="5" borderId="4" xfId="0" applyFont="1" applyFill="1" applyBorder="1" applyAlignment="1">
      <alignment horizontal="center" vertical="center"/>
    </xf>
    <xf numFmtId="4" fontId="2" fillId="5" borderId="1" xfId="0" applyNumberFormat="1" applyFont="1" applyFill="1" applyBorder="1" applyAlignment="1">
      <alignment vertical="center"/>
    </xf>
    <xf numFmtId="3" fontId="2" fillId="5" borderId="1" xfId="0" applyNumberFormat="1" applyFont="1" applyFill="1" applyBorder="1" applyAlignment="1">
      <alignment vertical="center"/>
    </xf>
    <xf numFmtId="0" fontId="5" fillId="9" borderId="2" xfId="0" applyFont="1" applyFill="1" applyBorder="1" applyAlignment="1">
      <alignment horizontal="center" vertical="center"/>
    </xf>
    <xf numFmtId="0" fontId="5" fillId="7" borderId="2" xfId="0" applyFont="1" applyFill="1" applyBorder="1" applyAlignment="1">
      <alignment horizontal="center" vertical="center" wrapText="1"/>
    </xf>
    <xf numFmtId="0" fontId="5" fillId="11" borderId="1" xfId="0" applyFont="1" applyFill="1" applyBorder="1" applyAlignment="1">
      <alignment horizontal="center" vertical="center"/>
    </xf>
    <xf numFmtId="3" fontId="5" fillId="0" borderId="4" xfId="0" applyNumberFormat="1" applyFont="1" applyBorder="1" applyAlignment="1">
      <alignment vertical="center"/>
    </xf>
    <xf numFmtId="0" fontId="5" fillId="6" borderId="2"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33" fillId="0" borderId="4" xfId="0" applyFont="1" applyBorder="1" applyAlignment="1">
      <alignment horizontal="center" vertical="center"/>
    </xf>
    <xf numFmtId="4" fontId="5" fillId="0" borderId="4" xfId="0" applyNumberFormat="1" applyFont="1" applyBorder="1" applyAlignment="1">
      <alignment vertical="center"/>
    </xf>
    <xf numFmtId="4" fontId="5" fillId="0" borderId="1" xfId="0" applyNumberFormat="1" applyFont="1" applyBorder="1" applyAlignment="1">
      <alignment vertical="center"/>
    </xf>
    <xf numFmtId="0" fontId="7" fillId="4" borderId="1" xfId="0" applyFont="1" applyFill="1" applyBorder="1" applyAlignment="1">
      <alignment vertical="center"/>
    </xf>
    <xf numFmtId="2" fontId="59" fillId="5" borderId="1" xfId="0" applyNumberFormat="1" applyFont="1" applyFill="1" applyBorder="1" applyAlignment="1">
      <alignment horizontal="center" vertical="center" wrapText="1"/>
    </xf>
    <xf numFmtId="0" fontId="55" fillId="5" borderId="1" xfId="0" applyFont="1" applyFill="1" applyBorder="1" applyAlignment="1">
      <alignment horizontal="center" vertical="center" wrapText="1"/>
    </xf>
    <xf numFmtId="164" fontId="55" fillId="3" borderId="1" xfId="3" applyNumberFormat="1" applyFont="1" applyFill="1" applyBorder="1" applyAlignment="1">
      <alignment horizontal="left" vertical="center" wrapText="1"/>
    </xf>
    <xf numFmtId="2" fontId="59" fillId="5" borderId="1" xfId="4" applyNumberFormat="1" applyFont="1" applyFill="1" applyBorder="1" applyAlignment="1">
      <alignment horizontal="center" vertical="center" wrapText="1"/>
    </xf>
    <xf numFmtId="0" fontId="59" fillId="5" borderId="1" xfId="0" applyFont="1" applyFill="1" applyBorder="1" applyAlignment="1">
      <alignment horizontal="left" vertical="center" wrapText="1"/>
    </xf>
    <xf numFmtId="0" fontId="7" fillId="5" borderId="1" xfId="0" applyFont="1" applyFill="1" applyBorder="1" applyAlignment="1">
      <alignment horizontal="left" vertical="center"/>
    </xf>
    <xf numFmtId="0" fontId="63" fillId="5" borderId="1" xfId="0" applyFont="1" applyFill="1" applyBorder="1" applyAlignment="1">
      <alignment horizontal="center" vertical="center" wrapText="1"/>
    </xf>
    <xf numFmtId="0" fontId="64" fillId="5" borderId="1" xfId="0" applyFont="1" applyFill="1" applyBorder="1" applyAlignment="1">
      <alignment horizontal="center" vertical="center" wrapText="1"/>
    </xf>
    <xf numFmtId="2" fontId="64" fillId="5" borderId="1" xfId="0" applyNumberFormat="1" applyFont="1" applyFill="1" applyBorder="1" applyAlignment="1">
      <alignment horizontal="center" vertical="center" wrapText="1"/>
    </xf>
    <xf numFmtId="14" fontId="64" fillId="5" borderId="1" xfId="0" applyNumberFormat="1" applyFont="1" applyFill="1" applyBorder="1" applyAlignment="1">
      <alignment horizontal="center" vertical="center" wrapText="1"/>
    </xf>
    <xf numFmtId="0" fontId="63" fillId="5" borderId="1" xfId="0" applyFont="1" applyFill="1" applyBorder="1" applyAlignment="1">
      <alignment horizontal="center" vertical="center"/>
    </xf>
    <xf numFmtId="0" fontId="59" fillId="5" borderId="1" xfId="0" applyFont="1" applyFill="1" applyBorder="1" applyAlignment="1">
      <alignment horizontal="center" vertical="center" wrapText="1"/>
    </xf>
    <xf numFmtId="4" fontId="66" fillId="5" borderId="1" xfId="0" applyNumberFormat="1" applyFont="1" applyFill="1" applyBorder="1" applyAlignment="1">
      <alignment horizontal="center" vertical="center" wrapText="1"/>
    </xf>
    <xf numFmtId="0" fontId="7" fillId="6" borderId="1" xfId="0" applyFont="1" applyFill="1" applyBorder="1" applyAlignment="1">
      <alignment horizontal="left" vertical="center"/>
    </xf>
    <xf numFmtId="2" fontId="55" fillId="3" borderId="1" xfId="3" applyNumberFormat="1" applyFont="1" applyFill="1" applyBorder="1" applyAlignment="1">
      <alignment horizontal="center" vertical="center" wrapText="1"/>
    </xf>
    <xf numFmtId="2" fontId="7" fillId="3" borderId="1" xfId="1" applyNumberFormat="1" applyFont="1" applyFill="1" applyBorder="1" applyAlignment="1">
      <alignment horizontal="center" vertical="center" wrapText="1"/>
    </xf>
    <xf numFmtId="0" fontId="59" fillId="3" borderId="1" xfId="0" applyFont="1" applyFill="1" applyBorder="1" applyAlignment="1">
      <alignment vertical="center" wrapText="1"/>
    </xf>
    <xf numFmtId="0" fontId="60" fillId="5"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2" fontId="30" fillId="3" borderId="1" xfId="3" applyNumberFormat="1" applyFont="1" applyFill="1" applyBorder="1" applyAlignment="1">
      <alignment horizontal="center" vertical="center" wrapText="1"/>
    </xf>
    <xf numFmtId="0" fontId="57"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26" fillId="4" borderId="6" xfId="0" applyFont="1" applyFill="1" applyBorder="1" applyAlignment="1">
      <alignment horizontal="center" vertical="center" wrapText="1"/>
    </xf>
    <xf numFmtId="0" fontId="57" fillId="4" borderId="2" xfId="0" applyFont="1" applyFill="1" applyBorder="1" applyAlignment="1">
      <alignment horizontal="left" vertical="center"/>
    </xf>
    <xf numFmtId="0" fontId="57" fillId="4" borderId="3" xfId="0" applyFont="1" applyFill="1" applyBorder="1" applyAlignment="1">
      <alignment horizontal="left" vertical="center"/>
    </xf>
    <xf numFmtId="0" fontId="57" fillId="4" borderId="4" xfId="0" applyFont="1" applyFill="1" applyBorder="1" applyAlignment="1">
      <alignment horizontal="left" vertical="center"/>
    </xf>
    <xf numFmtId="0" fontId="54" fillId="4" borderId="2" xfId="0" applyFont="1" applyFill="1" applyBorder="1" applyAlignment="1">
      <alignment horizontal="left" vertical="center" wrapText="1"/>
    </xf>
    <xf numFmtId="0" fontId="54" fillId="4" borderId="3" xfId="0" applyFont="1" applyFill="1" applyBorder="1" applyAlignment="1">
      <alignment horizontal="left" vertical="center" wrapText="1"/>
    </xf>
    <xf numFmtId="0" fontId="54" fillId="4" borderId="4" xfId="0" applyFont="1" applyFill="1" applyBorder="1" applyAlignment="1">
      <alignment horizontal="left" vertical="center" wrapText="1"/>
    </xf>
    <xf numFmtId="0" fontId="54"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41"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4" fillId="4" borderId="5"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6" fillId="0" borderId="1" xfId="0" applyFont="1" applyBorder="1" applyAlignment="1">
      <alignment vertical="center"/>
    </xf>
    <xf numFmtId="0" fontId="35" fillId="2" borderId="4" xfId="0" applyFont="1" applyFill="1" applyBorder="1" applyAlignment="1">
      <alignment horizontal="center" vertical="center" wrapText="1"/>
    </xf>
    <xf numFmtId="0" fontId="6" fillId="0" borderId="1" xfId="0" applyFont="1" applyFill="1" applyBorder="1" applyAlignment="1">
      <alignment vertical="center"/>
    </xf>
    <xf numFmtId="0" fontId="6" fillId="2" borderId="1" xfId="0" applyFont="1" applyFill="1" applyBorder="1" applyAlignment="1">
      <alignment vertical="center"/>
    </xf>
    <xf numFmtId="0" fontId="6" fillId="4" borderId="1" xfId="0" applyFont="1" applyFill="1" applyBorder="1" applyAlignment="1">
      <alignment vertical="center"/>
    </xf>
  </cellXfs>
  <cellStyles count="5">
    <cellStyle name="Обычный" xfId="0" builtinId="0"/>
    <cellStyle name="Обычный 2" xfId="3" xr:uid="{00000000-0005-0000-0000-000001000000}"/>
    <cellStyle name="Обычный 2 2" xfId="2" xr:uid="{00000000-0005-0000-0000-000002000000}"/>
    <cellStyle name="Обычный 2 3" xfId="1" xr:uid="{00000000-0005-0000-0000-000003000000}"/>
    <cellStyle name="Финансовый" xfId="4" builtinId="3"/>
  </cellStyles>
  <dxfs count="0"/>
  <tableStyles count="0" defaultTableStyle="TableStyleMedium2" defaultPivotStyle="PivotStyleLight16"/>
  <colors>
    <mruColors>
      <color rgb="FF0000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U106"/>
  <sheetViews>
    <sheetView tabSelected="1" topLeftCell="A88" zoomScale="70" zoomScaleNormal="70" zoomScaleSheetLayoutView="40" workbookViewId="0">
      <selection activeCell="E7" sqref="E7"/>
    </sheetView>
  </sheetViews>
  <sheetFormatPr defaultColWidth="9.140625" defaultRowHeight="18.75" x14ac:dyDescent="0.25"/>
  <cols>
    <col min="1" max="1" width="4.7109375" style="74" customWidth="1"/>
    <col min="2" max="2" width="5.85546875" style="39" customWidth="1"/>
    <col min="3" max="3" width="45.5703125" style="75" hidden="1" customWidth="1"/>
    <col min="4" max="4" width="38.7109375" style="73" customWidth="1"/>
    <col min="5" max="5" width="33.42578125" style="77" customWidth="1"/>
    <col min="6" max="6" width="22" style="77" customWidth="1"/>
    <col min="7" max="7" width="8.85546875" style="78" customWidth="1"/>
    <col min="8" max="8" width="16.85546875" style="75" customWidth="1"/>
    <col min="9" max="9" width="14.140625" style="39" customWidth="1"/>
    <col min="10" max="10" width="14.85546875" style="39" customWidth="1"/>
    <col min="11" max="11" width="16.42578125" style="39" customWidth="1"/>
    <col min="12" max="12" width="18.5703125" style="39" customWidth="1"/>
    <col min="13" max="13" width="14.28515625" style="39" customWidth="1"/>
    <col min="14" max="14" width="16.140625" style="39" customWidth="1"/>
    <col min="15" max="15" width="16.28515625" style="39" customWidth="1"/>
    <col min="16" max="16" width="20.140625" style="77" customWidth="1"/>
    <col min="17" max="17" width="75.85546875" style="74" customWidth="1"/>
    <col min="18" max="18" width="26.5703125" style="39" customWidth="1"/>
    <col min="19" max="19" width="23" style="74" customWidth="1"/>
    <col min="20" max="20" width="41.7109375" style="39" customWidth="1"/>
    <col min="21" max="21" width="41" style="39" customWidth="1"/>
    <col min="22" max="16384" width="9.140625" style="39"/>
  </cols>
  <sheetData>
    <row r="2" spans="1:21" ht="58.5" customHeight="1" x14ac:dyDescent="0.25">
      <c r="B2" s="83"/>
      <c r="C2" s="84"/>
      <c r="D2" s="420"/>
      <c r="E2" s="421" t="s">
        <v>385</v>
      </c>
      <c r="F2" s="422" t="s">
        <v>386</v>
      </c>
      <c r="G2" s="423" t="s">
        <v>293</v>
      </c>
      <c r="H2" s="424" t="s">
        <v>378</v>
      </c>
      <c r="I2" s="425" t="s">
        <v>536</v>
      </c>
      <c r="J2" s="425" t="s">
        <v>535</v>
      </c>
      <c r="K2" s="86"/>
      <c r="L2" s="83"/>
      <c r="M2" s="84"/>
      <c r="N2" s="83"/>
      <c r="O2" s="83"/>
      <c r="P2" s="83"/>
      <c r="Q2" s="83"/>
      <c r="R2" s="83"/>
      <c r="S2" s="83"/>
    </row>
    <row r="3" spans="1:21" ht="23.25" x14ac:dyDescent="0.25">
      <c r="B3" s="86"/>
      <c r="C3" s="84"/>
      <c r="D3" s="426" t="s">
        <v>375</v>
      </c>
      <c r="E3" s="421">
        <f>SUM(B13,B17,B20,B31,B32,B35,B43,B49,B50,B51,B52,B53,B62,B65,B68,B69,B73,B76,B90,B93,B94,B82,B87,B36,B30,B63,B98,B99,B100,B101,B102,B106,B95)</f>
        <v>33</v>
      </c>
      <c r="F3" s="439">
        <f>SUM(K13,K17,K20,K30,K31,K32,K35,K36,K43,K49,K50,K51,K52,K53,K62,K63,K65,K68,K69,K73,K76,K82,K87,K90,K93,K94,K95,K98,K99,K100,K101,K102)</f>
        <v>110899.93700000001</v>
      </c>
      <c r="G3" s="427">
        <f>SUM(G13,G17,G20,G30,G36,G49,G50,G51,G52,G53,G62,G63,G68,G73,G76,G82,G87,G90,G93,G94,G95,G98,G99,G100,G101,G102)</f>
        <v>2231</v>
      </c>
      <c r="H3" s="428">
        <f>SUM(E3:E7)</f>
        <v>83</v>
      </c>
      <c r="I3" s="429">
        <f>SUM(F3:F7)</f>
        <v>761416.16999999993</v>
      </c>
      <c r="J3" s="430">
        <f>SUM(G3:G7)</f>
        <v>12554</v>
      </c>
      <c r="K3" s="86"/>
      <c r="L3" s="83"/>
      <c r="M3" s="84"/>
      <c r="N3" s="83"/>
      <c r="O3" s="83"/>
      <c r="P3" s="83"/>
      <c r="Q3" s="83"/>
      <c r="R3" s="83"/>
      <c r="S3" s="83"/>
    </row>
    <row r="4" spans="1:21" ht="23.25" x14ac:dyDescent="0.25">
      <c r="B4" s="83"/>
      <c r="C4" s="84"/>
      <c r="D4" s="431" t="s">
        <v>560</v>
      </c>
      <c r="E4" s="421">
        <f>SUM(B15,B16,B19,B25,B26,B37,B40,B47,B48,B54,B55,B56,B71,B72,B91,B88,B85,B83,B81,B79,B74,B70,B67,B24,B44,B58,B42,B64)</f>
        <v>28</v>
      </c>
      <c r="F4" s="439">
        <f>SUM(K16,K15,K19,K24,K25,K26,K37,K40,K42,K44,K47,K48,K54,K55,K56,K58,J64,K67,K70,K71,K72,K74,K79,K81,K83,K85,K88,K91)</f>
        <v>404618.033</v>
      </c>
      <c r="G4" s="427">
        <f>SUM(G15,G16,G19,G24,G25,G26,G37,G40,G42,G44,G47,G48,G54,G55,G56,G58,G64,G67,G70,G71,G72,G74,G79,G83,G85,G81,G88,G91)</f>
        <v>8274</v>
      </c>
      <c r="H4" s="78"/>
      <c r="I4" s="420"/>
      <c r="J4" s="77"/>
      <c r="K4" s="86"/>
      <c r="L4" s="83"/>
      <c r="M4" s="84"/>
      <c r="N4" s="83"/>
      <c r="O4" s="83"/>
      <c r="P4" s="83"/>
      <c r="Q4" s="83"/>
      <c r="R4" s="83"/>
      <c r="S4" s="83"/>
    </row>
    <row r="5" spans="1:21" ht="23.25" x14ac:dyDescent="0.25">
      <c r="B5" s="83"/>
      <c r="C5" s="84"/>
      <c r="D5" s="432" t="s">
        <v>381</v>
      </c>
      <c r="E5" s="421">
        <f>SUM(B45,B60)</f>
        <v>2</v>
      </c>
      <c r="F5" s="439">
        <f>SUM(K45,K60)</f>
        <v>3972.2</v>
      </c>
      <c r="G5" s="427">
        <f>SUM(G60)</f>
        <v>60</v>
      </c>
      <c r="H5" s="78"/>
      <c r="I5" s="420"/>
      <c r="J5" s="77"/>
      <c r="K5" s="86"/>
      <c r="L5" s="83"/>
      <c r="M5" s="84"/>
      <c r="N5" s="83"/>
      <c r="O5" s="83"/>
      <c r="P5" s="83"/>
      <c r="Q5" s="83"/>
      <c r="R5" s="83"/>
      <c r="S5" s="83"/>
    </row>
    <row r="6" spans="1:21" ht="23.25" x14ac:dyDescent="0.25">
      <c r="B6" s="83"/>
      <c r="C6" s="84"/>
      <c r="D6" s="433" t="s">
        <v>472</v>
      </c>
      <c r="E6" s="421">
        <f>SUM(B14,B21,B22,B23,B27,B39,B77,B80,B29,B28,B103,B104,B105,B59)</f>
        <v>14</v>
      </c>
      <c r="F6" s="440">
        <f>SUM(I14,I22,I23,I21,I27,I39,I77,I80,I103,I104,I105,L59)</f>
        <v>190415</v>
      </c>
      <c r="G6" s="434">
        <f>SUM(G14,G21,G22,G23,G27,G39,G77,G80,G103,G104,G104,G105)</f>
        <v>1079</v>
      </c>
      <c r="H6" s="78"/>
      <c r="I6" s="420"/>
      <c r="J6" s="77"/>
      <c r="K6" s="86"/>
      <c r="L6" s="83"/>
      <c r="M6" s="84"/>
      <c r="N6" s="83"/>
      <c r="O6" s="83"/>
      <c r="P6" s="83"/>
      <c r="Q6" s="83"/>
      <c r="R6" s="83"/>
      <c r="S6" s="83"/>
    </row>
    <row r="7" spans="1:21" ht="23.25" x14ac:dyDescent="0.25">
      <c r="B7" s="83"/>
      <c r="C7" s="84"/>
      <c r="D7" s="435" t="s">
        <v>374</v>
      </c>
      <c r="E7" s="421">
        <f>SUM(B78,B86,B33,B97,B96,B34)</f>
        <v>6</v>
      </c>
      <c r="F7" s="439">
        <f>SUM(K33,K34,K78,K86)</f>
        <v>51511</v>
      </c>
      <c r="G7" s="427">
        <f>SUM(G78,G86)</f>
        <v>910</v>
      </c>
      <c r="H7" s="78"/>
      <c r="I7" s="420"/>
      <c r="J7" s="77"/>
      <c r="K7" s="86"/>
      <c r="L7" s="83"/>
      <c r="M7" s="84"/>
      <c r="N7" s="83"/>
      <c r="O7" s="83"/>
      <c r="P7" s="83"/>
      <c r="Q7" s="83"/>
      <c r="R7" s="83"/>
      <c r="S7" s="83"/>
    </row>
    <row r="8" spans="1:21" ht="23.25" x14ac:dyDescent="0.25">
      <c r="B8" s="83"/>
      <c r="C8" s="84"/>
      <c r="D8" s="436"/>
      <c r="E8" s="437"/>
      <c r="F8" s="437"/>
      <c r="G8" s="438"/>
      <c r="H8" s="78"/>
      <c r="I8" s="420"/>
      <c r="J8" s="77"/>
      <c r="K8" s="86"/>
      <c r="L8" s="83"/>
      <c r="M8" s="84"/>
      <c r="N8" s="83"/>
      <c r="O8" s="83"/>
      <c r="P8" s="83"/>
      <c r="Q8" s="83"/>
      <c r="R8" s="83"/>
      <c r="S8" s="83"/>
    </row>
    <row r="9" spans="1:21" ht="23.25" x14ac:dyDescent="0.25">
      <c r="B9" s="83"/>
      <c r="C9" s="84"/>
      <c r="D9" s="86"/>
      <c r="E9" s="83"/>
      <c r="F9" s="83"/>
      <c r="G9" s="91"/>
      <c r="H9" s="84"/>
      <c r="I9" s="83"/>
      <c r="J9" s="83"/>
      <c r="K9" s="83"/>
      <c r="L9" s="83"/>
      <c r="M9" s="83"/>
      <c r="N9" s="83"/>
      <c r="O9" s="83"/>
      <c r="P9" s="83"/>
      <c r="Q9" s="83"/>
      <c r="R9" s="83"/>
      <c r="S9" s="83"/>
    </row>
    <row r="10" spans="1:21" ht="31.5" x14ac:dyDescent="0.25">
      <c r="A10" s="464" t="s">
        <v>0</v>
      </c>
      <c r="B10" s="464" t="s">
        <v>0</v>
      </c>
      <c r="C10" s="464" t="s">
        <v>289</v>
      </c>
      <c r="D10" s="464" t="s">
        <v>3</v>
      </c>
      <c r="E10" s="464" t="s">
        <v>2</v>
      </c>
      <c r="F10" s="465" t="s">
        <v>298</v>
      </c>
      <c r="G10" s="464" t="s">
        <v>537</v>
      </c>
      <c r="H10" s="286" t="s">
        <v>16</v>
      </c>
      <c r="I10" s="464" t="s">
        <v>93</v>
      </c>
      <c r="J10" s="464"/>
      <c r="K10" s="464"/>
      <c r="L10" s="464"/>
      <c r="M10" s="464" t="s">
        <v>232</v>
      </c>
      <c r="N10" s="464" t="s">
        <v>233</v>
      </c>
      <c r="O10" s="464" t="s">
        <v>13</v>
      </c>
      <c r="P10" s="464" t="s">
        <v>159</v>
      </c>
      <c r="Q10" s="464" t="s">
        <v>11</v>
      </c>
      <c r="R10" s="464" t="s">
        <v>169</v>
      </c>
      <c r="S10" s="464" t="s">
        <v>95</v>
      </c>
      <c r="T10" s="465" t="s">
        <v>599</v>
      </c>
      <c r="U10" s="464" t="s">
        <v>600</v>
      </c>
    </row>
    <row r="11" spans="1:21" ht="63" x14ac:dyDescent="0.25">
      <c r="A11" s="464"/>
      <c r="B11" s="464"/>
      <c r="C11" s="473"/>
      <c r="D11" s="464"/>
      <c r="E11" s="464"/>
      <c r="F11" s="466"/>
      <c r="G11" s="464"/>
      <c r="H11" s="286" t="s">
        <v>387</v>
      </c>
      <c r="I11" s="286" t="s">
        <v>137</v>
      </c>
      <c r="J11" s="286" t="s">
        <v>294</v>
      </c>
      <c r="K11" s="286" t="s">
        <v>156</v>
      </c>
      <c r="L11" s="287" t="s">
        <v>127</v>
      </c>
      <c r="M11" s="464"/>
      <c r="N11" s="464"/>
      <c r="O11" s="464"/>
      <c r="P11" s="464"/>
      <c r="Q11" s="464"/>
      <c r="R11" s="464"/>
      <c r="S11" s="464"/>
      <c r="T11" s="466"/>
      <c r="U11" s="464"/>
    </row>
    <row r="12" spans="1:21" ht="25.5" customHeight="1" x14ac:dyDescent="0.25">
      <c r="A12" s="441"/>
      <c r="B12" s="286"/>
      <c r="C12" s="470" t="s">
        <v>147</v>
      </c>
      <c r="D12" s="471"/>
      <c r="E12" s="471"/>
      <c r="F12" s="471"/>
      <c r="G12" s="471"/>
      <c r="H12" s="471"/>
      <c r="I12" s="471"/>
      <c r="J12" s="471"/>
      <c r="K12" s="471"/>
      <c r="L12" s="471"/>
      <c r="M12" s="471"/>
      <c r="N12" s="471"/>
      <c r="O12" s="471"/>
      <c r="P12" s="471"/>
      <c r="Q12" s="471"/>
      <c r="R12" s="471"/>
      <c r="S12" s="472"/>
      <c r="T12" s="492"/>
      <c r="U12" s="492"/>
    </row>
    <row r="13" spans="1:21" ht="75" x14ac:dyDescent="0.25">
      <c r="A13" s="441">
        <v>1</v>
      </c>
      <c r="B13" s="288">
        <v>1</v>
      </c>
      <c r="C13" s="289" t="s">
        <v>147</v>
      </c>
      <c r="D13" s="290" t="s">
        <v>538</v>
      </c>
      <c r="E13" s="291" t="s">
        <v>561</v>
      </c>
      <c r="F13" s="291" t="s">
        <v>299</v>
      </c>
      <c r="G13" s="292">
        <v>50</v>
      </c>
      <c r="H13" s="292"/>
      <c r="I13" s="293">
        <v>386.8</v>
      </c>
      <c r="J13" s="293"/>
      <c r="K13" s="293">
        <f>I13</f>
        <v>386.8</v>
      </c>
      <c r="L13" s="294"/>
      <c r="M13" s="293" t="s">
        <v>129</v>
      </c>
      <c r="N13" s="293" t="s">
        <v>129</v>
      </c>
      <c r="O13" s="293">
        <v>0.99360000000000004</v>
      </c>
      <c r="P13" s="295" t="s">
        <v>186</v>
      </c>
      <c r="Q13" s="296" t="s">
        <v>182</v>
      </c>
      <c r="R13" s="297" t="s">
        <v>170</v>
      </c>
      <c r="S13" s="291" t="s">
        <v>222</v>
      </c>
      <c r="T13" s="488"/>
      <c r="U13" s="488"/>
    </row>
    <row r="14" spans="1:21" ht="75" x14ac:dyDescent="0.25">
      <c r="A14" s="441">
        <v>2</v>
      </c>
      <c r="B14" s="288">
        <v>1</v>
      </c>
      <c r="C14" s="298" t="s">
        <v>147</v>
      </c>
      <c r="D14" s="299" t="s">
        <v>539</v>
      </c>
      <c r="E14" s="300" t="s">
        <v>86</v>
      </c>
      <c r="F14" s="300" t="s">
        <v>471</v>
      </c>
      <c r="G14" s="301">
        <v>68</v>
      </c>
      <c r="H14" s="301"/>
      <c r="I14" s="302">
        <v>3120</v>
      </c>
      <c r="J14" s="302"/>
      <c r="K14" s="302">
        <f t="shared" ref="K14:K15" si="0">I14</f>
        <v>3120</v>
      </c>
      <c r="L14" s="303"/>
      <c r="M14" s="304" t="s">
        <v>104</v>
      </c>
      <c r="N14" s="304" t="s">
        <v>104</v>
      </c>
      <c r="O14" s="302">
        <v>50</v>
      </c>
      <c r="P14" s="305" t="s">
        <v>138</v>
      </c>
      <c r="Q14" s="306" t="s">
        <v>243</v>
      </c>
      <c r="R14" s="307" t="s">
        <v>197</v>
      </c>
      <c r="S14" s="300" t="s">
        <v>208</v>
      </c>
      <c r="T14" s="488"/>
      <c r="U14" s="488"/>
    </row>
    <row r="15" spans="1:21" ht="165" x14ac:dyDescent="0.25">
      <c r="A15" s="441">
        <v>3</v>
      </c>
      <c r="B15" s="288">
        <v>1</v>
      </c>
      <c r="C15" s="308" t="s">
        <v>147</v>
      </c>
      <c r="D15" s="309" t="s">
        <v>540</v>
      </c>
      <c r="E15" s="310" t="s">
        <v>88</v>
      </c>
      <c r="F15" s="310" t="s">
        <v>379</v>
      </c>
      <c r="G15" s="311">
        <v>35</v>
      </c>
      <c r="H15" s="311"/>
      <c r="I15" s="312">
        <v>600</v>
      </c>
      <c r="J15" s="312"/>
      <c r="K15" s="312">
        <f t="shared" si="0"/>
        <v>600</v>
      </c>
      <c r="L15" s="313"/>
      <c r="M15" s="314" t="s">
        <v>104</v>
      </c>
      <c r="N15" s="314" t="s">
        <v>104</v>
      </c>
      <c r="O15" s="312">
        <v>707.6</v>
      </c>
      <c r="P15" s="315" t="s">
        <v>139</v>
      </c>
      <c r="Q15" s="316" t="s">
        <v>244</v>
      </c>
      <c r="R15" s="317" t="s">
        <v>234</v>
      </c>
      <c r="S15" s="310" t="s">
        <v>209</v>
      </c>
      <c r="T15" s="488"/>
      <c r="U15" s="488"/>
    </row>
    <row r="16" spans="1:21" ht="75" x14ac:dyDescent="0.25">
      <c r="A16" s="441">
        <v>4</v>
      </c>
      <c r="B16" s="288">
        <v>1</v>
      </c>
      <c r="C16" s="318" t="s">
        <v>147</v>
      </c>
      <c r="D16" s="319" t="s">
        <v>314</v>
      </c>
      <c r="E16" s="310" t="s">
        <v>330</v>
      </c>
      <c r="F16" s="310" t="s">
        <v>379</v>
      </c>
      <c r="G16" s="318">
        <v>13</v>
      </c>
      <c r="H16" s="318"/>
      <c r="I16" s="321">
        <v>869.1</v>
      </c>
      <c r="J16" s="321"/>
      <c r="K16" s="321">
        <v>869.1</v>
      </c>
      <c r="L16" s="321"/>
      <c r="M16" s="321" t="s">
        <v>104</v>
      </c>
      <c r="N16" s="321"/>
      <c r="O16" s="321">
        <v>13</v>
      </c>
      <c r="P16" s="310"/>
      <c r="Q16" s="322" t="s">
        <v>346</v>
      </c>
      <c r="R16" s="310"/>
      <c r="S16" s="310" t="s">
        <v>305</v>
      </c>
      <c r="T16" s="488"/>
      <c r="U16" s="488"/>
    </row>
    <row r="17" spans="1:21" ht="75" x14ac:dyDescent="0.25">
      <c r="A17" s="441">
        <v>5</v>
      </c>
      <c r="B17" s="288">
        <v>1</v>
      </c>
      <c r="C17" s="323" t="s">
        <v>147</v>
      </c>
      <c r="D17" s="327" t="s">
        <v>579</v>
      </c>
      <c r="E17" s="291" t="s">
        <v>364</v>
      </c>
      <c r="F17" s="291" t="s">
        <v>299</v>
      </c>
      <c r="G17" s="292">
        <v>99</v>
      </c>
      <c r="H17" s="292" t="s">
        <v>389</v>
      </c>
      <c r="I17" s="293"/>
      <c r="J17" s="293"/>
      <c r="K17" s="294">
        <v>5000</v>
      </c>
      <c r="L17" s="329">
        <v>5000</v>
      </c>
      <c r="M17" s="329" t="s">
        <v>99</v>
      </c>
      <c r="N17" s="293"/>
      <c r="O17" s="399"/>
      <c r="P17" s="291" t="s">
        <v>365</v>
      </c>
      <c r="Q17" s="330" t="s">
        <v>366</v>
      </c>
      <c r="R17" s="291" t="s">
        <v>367</v>
      </c>
      <c r="S17" s="291" t="s">
        <v>368</v>
      </c>
      <c r="T17" s="488"/>
      <c r="U17" s="488"/>
    </row>
    <row r="18" spans="1:21" ht="30" customHeight="1" x14ac:dyDescent="0.25">
      <c r="A18" s="441"/>
      <c r="B18" s="288"/>
      <c r="C18" s="467" t="s">
        <v>148</v>
      </c>
      <c r="D18" s="468"/>
      <c r="E18" s="468"/>
      <c r="F18" s="468"/>
      <c r="G18" s="468"/>
      <c r="H18" s="468"/>
      <c r="I18" s="468"/>
      <c r="J18" s="468"/>
      <c r="K18" s="468"/>
      <c r="L18" s="468"/>
      <c r="M18" s="468"/>
      <c r="N18" s="468"/>
      <c r="O18" s="468"/>
      <c r="P18" s="468"/>
      <c r="Q18" s="468"/>
      <c r="R18" s="468"/>
      <c r="S18" s="469"/>
      <c r="T18" s="492"/>
      <c r="U18" s="492"/>
    </row>
    <row r="19" spans="1:21" ht="120" x14ac:dyDescent="0.25">
      <c r="A19" s="441">
        <v>6</v>
      </c>
      <c r="B19" s="288">
        <v>1</v>
      </c>
      <c r="C19" s="308" t="s">
        <v>148</v>
      </c>
      <c r="D19" s="326" t="s">
        <v>541</v>
      </c>
      <c r="E19" s="310" t="s">
        <v>32</v>
      </c>
      <c r="F19" s="310" t="s">
        <v>379</v>
      </c>
      <c r="G19" s="311">
        <v>30</v>
      </c>
      <c r="H19" s="311"/>
      <c r="I19" s="312">
        <v>7200</v>
      </c>
      <c r="J19" s="312"/>
      <c r="K19" s="312">
        <f t="shared" ref="K19:K27" si="1">I19</f>
        <v>7200</v>
      </c>
      <c r="L19" s="313"/>
      <c r="M19" s="314" t="s">
        <v>99</v>
      </c>
      <c r="N19" s="314" t="s">
        <v>99</v>
      </c>
      <c r="O19" s="312">
        <v>10</v>
      </c>
      <c r="P19" s="310" t="s">
        <v>141</v>
      </c>
      <c r="Q19" s="316" t="s">
        <v>245</v>
      </c>
      <c r="R19" s="317" t="s">
        <v>198</v>
      </c>
      <c r="S19" s="310"/>
      <c r="T19" s="488"/>
      <c r="U19" s="488"/>
    </row>
    <row r="20" spans="1:21" ht="91.5" x14ac:dyDescent="0.25">
      <c r="A20" s="441">
        <v>7</v>
      </c>
      <c r="B20" s="288">
        <v>1</v>
      </c>
      <c r="C20" s="289" t="s">
        <v>148</v>
      </c>
      <c r="D20" s="327" t="s">
        <v>580</v>
      </c>
      <c r="E20" s="291" t="s">
        <v>565</v>
      </c>
      <c r="F20" s="291" t="s">
        <v>299</v>
      </c>
      <c r="G20" s="328">
        <v>128</v>
      </c>
      <c r="H20" s="328"/>
      <c r="I20" s="293">
        <v>10000</v>
      </c>
      <c r="J20" s="293"/>
      <c r="K20" s="293">
        <f t="shared" si="1"/>
        <v>10000</v>
      </c>
      <c r="L20" s="294">
        <v>7000</v>
      </c>
      <c r="M20" s="329" t="s">
        <v>99</v>
      </c>
      <c r="N20" s="329">
        <v>2026</v>
      </c>
      <c r="O20" s="293">
        <v>30</v>
      </c>
      <c r="P20" s="291" t="s">
        <v>185</v>
      </c>
      <c r="Q20" s="330" t="s">
        <v>542</v>
      </c>
      <c r="R20" s="291" t="s">
        <v>199</v>
      </c>
      <c r="S20" s="291" t="s">
        <v>211</v>
      </c>
      <c r="T20" s="488"/>
      <c r="U20" s="488"/>
    </row>
    <row r="21" spans="1:21" ht="165" x14ac:dyDescent="0.25">
      <c r="A21" s="441">
        <v>8</v>
      </c>
      <c r="B21" s="288">
        <v>1</v>
      </c>
      <c r="C21" s="298" t="s">
        <v>148</v>
      </c>
      <c r="D21" s="331" t="s">
        <v>543</v>
      </c>
      <c r="E21" s="300" t="s">
        <v>46</v>
      </c>
      <c r="F21" s="300" t="s">
        <v>471</v>
      </c>
      <c r="G21" s="301">
        <v>40</v>
      </c>
      <c r="H21" s="301"/>
      <c r="I21" s="302">
        <v>10500</v>
      </c>
      <c r="J21" s="302"/>
      <c r="K21" s="302">
        <f t="shared" si="1"/>
        <v>10500</v>
      </c>
      <c r="L21" s="303"/>
      <c r="M21" s="304" t="s">
        <v>98</v>
      </c>
      <c r="N21" s="304"/>
      <c r="O21" s="302">
        <v>5</v>
      </c>
      <c r="P21" s="300" t="s">
        <v>142</v>
      </c>
      <c r="Q21" s="332" t="s">
        <v>390</v>
      </c>
      <c r="R21" s="307" t="s">
        <v>200</v>
      </c>
      <c r="S21" s="300" t="s">
        <v>212</v>
      </c>
      <c r="T21" s="488"/>
      <c r="U21" s="488"/>
    </row>
    <row r="22" spans="1:21" ht="165" x14ac:dyDescent="0.25">
      <c r="A22" s="441">
        <v>9</v>
      </c>
      <c r="B22" s="288">
        <v>1</v>
      </c>
      <c r="C22" s="298" t="s">
        <v>148</v>
      </c>
      <c r="D22" s="299" t="s">
        <v>544</v>
      </c>
      <c r="E22" s="300" t="s">
        <v>190</v>
      </c>
      <c r="F22" s="300" t="s">
        <v>471</v>
      </c>
      <c r="G22" s="301">
        <v>100</v>
      </c>
      <c r="H22" s="301"/>
      <c r="I22" s="302">
        <v>3250</v>
      </c>
      <c r="J22" s="302"/>
      <c r="K22" s="302">
        <f t="shared" si="1"/>
        <v>3250</v>
      </c>
      <c r="L22" s="303"/>
      <c r="M22" s="304" t="s">
        <v>104</v>
      </c>
      <c r="N22" s="304"/>
      <c r="O22" s="302">
        <v>50</v>
      </c>
      <c r="P22" s="300" t="s">
        <v>237</v>
      </c>
      <c r="Q22" s="333" t="s">
        <v>249</v>
      </c>
      <c r="R22" s="307" t="s">
        <v>242</v>
      </c>
      <c r="S22" s="300" t="s">
        <v>211</v>
      </c>
      <c r="T22" s="488"/>
      <c r="U22" s="488"/>
    </row>
    <row r="23" spans="1:21" ht="150" x14ac:dyDescent="0.25">
      <c r="A23" s="441">
        <v>10</v>
      </c>
      <c r="B23" s="288">
        <v>1</v>
      </c>
      <c r="C23" s="298" t="s">
        <v>148</v>
      </c>
      <c r="D23" s="299" t="s">
        <v>545</v>
      </c>
      <c r="E23" s="300" t="s">
        <v>63</v>
      </c>
      <c r="F23" s="300" t="s">
        <v>471</v>
      </c>
      <c r="G23" s="301">
        <v>85</v>
      </c>
      <c r="H23" s="301"/>
      <c r="I23" s="302">
        <v>3500</v>
      </c>
      <c r="J23" s="302"/>
      <c r="K23" s="302">
        <f t="shared" si="1"/>
        <v>3500</v>
      </c>
      <c r="L23" s="303">
        <v>1500</v>
      </c>
      <c r="M23" s="304" t="s">
        <v>104</v>
      </c>
      <c r="N23" s="304"/>
      <c r="O23" s="302">
        <v>94</v>
      </c>
      <c r="P23" s="300" t="s">
        <v>163</v>
      </c>
      <c r="Q23" s="332" t="s">
        <v>391</v>
      </c>
      <c r="R23" s="300" t="s">
        <v>201</v>
      </c>
      <c r="S23" s="300" t="s">
        <v>213</v>
      </c>
      <c r="T23" s="488"/>
      <c r="U23" s="488"/>
    </row>
    <row r="24" spans="1:21" ht="345" x14ac:dyDescent="0.25">
      <c r="A24" s="441">
        <v>11</v>
      </c>
      <c r="B24" s="288">
        <v>1</v>
      </c>
      <c r="C24" s="308" t="s">
        <v>148</v>
      </c>
      <c r="D24" s="309" t="s">
        <v>546</v>
      </c>
      <c r="E24" s="310" t="s">
        <v>189</v>
      </c>
      <c r="F24" s="310" t="s">
        <v>379</v>
      </c>
      <c r="G24" s="311">
        <v>50</v>
      </c>
      <c r="H24" s="311"/>
      <c r="I24" s="312">
        <v>31840</v>
      </c>
      <c r="J24" s="312"/>
      <c r="K24" s="312">
        <f t="shared" si="1"/>
        <v>31840</v>
      </c>
      <c r="L24" s="313">
        <v>2400</v>
      </c>
      <c r="M24" s="314" t="s">
        <v>103</v>
      </c>
      <c r="N24" s="314"/>
      <c r="O24" s="312">
        <v>84</v>
      </c>
      <c r="P24" s="310" t="s">
        <v>188</v>
      </c>
      <c r="Q24" s="316" t="s">
        <v>250</v>
      </c>
      <c r="R24" s="310" t="s">
        <v>202</v>
      </c>
      <c r="S24" s="310" t="s">
        <v>211</v>
      </c>
      <c r="T24" s="488"/>
      <c r="U24" s="488"/>
    </row>
    <row r="25" spans="1:21" ht="210" x14ac:dyDescent="0.25">
      <c r="A25" s="441">
        <v>12</v>
      </c>
      <c r="B25" s="288">
        <v>1</v>
      </c>
      <c r="C25" s="308" t="s">
        <v>148</v>
      </c>
      <c r="D25" s="309" t="s">
        <v>547</v>
      </c>
      <c r="E25" s="310" t="s">
        <v>178</v>
      </c>
      <c r="F25" s="310" t="s">
        <v>379</v>
      </c>
      <c r="G25" s="334">
        <v>51</v>
      </c>
      <c r="H25" s="334"/>
      <c r="I25" s="312">
        <v>7975.3329999999996</v>
      </c>
      <c r="J25" s="312"/>
      <c r="K25" s="312">
        <f t="shared" si="1"/>
        <v>7975.3329999999996</v>
      </c>
      <c r="L25" s="313"/>
      <c r="M25" s="314" t="s">
        <v>236</v>
      </c>
      <c r="N25" s="314" t="s">
        <v>236</v>
      </c>
      <c r="O25" s="312">
        <v>9.6</v>
      </c>
      <c r="P25" s="310" t="s">
        <v>179</v>
      </c>
      <c r="Q25" s="316" t="s">
        <v>240</v>
      </c>
      <c r="R25" s="310" t="s">
        <v>207</v>
      </c>
      <c r="S25" s="310" t="s">
        <v>210</v>
      </c>
      <c r="T25" s="488"/>
      <c r="U25" s="488"/>
    </row>
    <row r="26" spans="1:21" ht="75" x14ac:dyDescent="0.25">
      <c r="A26" s="441">
        <v>13</v>
      </c>
      <c r="B26" s="288">
        <v>1</v>
      </c>
      <c r="C26" s="308" t="s">
        <v>148</v>
      </c>
      <c r="D26" s="309" t="s">
        <v>548</v>
      </c>
      <c r="E26" s="310" t="s">
        <v>111</v>
      </c>
      <c r="F26" s="310" t="s">
        <v>379</v>
      </c>
      <c r="G26" s="334">
        <v>20</v>
      </c>
      <c r="H26" s="334"/>
      <c r="I26" s="312">
        <v>1576.6</v>
      </c>
      <c r="J26" s="312"/>
      <c r="K26" s="312">
        <f t="shared" si="1"/>
        <v>1576.6</v>
      </c>
      <c r="L26" s="313"/>
      <c r="M26" s="314" t="s">
        <v>104</v>
      </c>
      <c r="N26" s="314"/>
      <c r="O26" s="312">
        <v>4457.7</v>
      </c>
      <c r="P26" s="310" t="s">
        <v>143</v>
      </c>
      <c r="Q26" s="316" t="s">
        <v>239</v>
      </c>
      <c r="R26" s="310" t="s">
        <v>223</v>
      </c>
      <c r="S26" s="310" t="s">
        <v>211</v>
      </c>
      <c r="T26" s="488"/>
      <c r="U26" s="488"/>
    </row>
    <row r="27" spans="1:21" ht="165" x14ac:dyDescent="0.25">
      <c r="A27" s="441">
        <v>14</v>
      </c>
      <c r="B27" s="288">
        <v>1</v>
      </c>
      <c r="C27" s="298" t="s">
        <v>148</v>
      </c>
      <c r="D27" s="299" t="s">
        <v>549</v>
      </c>
      <c r="E27" s="300" t="s">
        <v>82</v>
      </c>
      <c r="F27" s="300" t="s">
        <v>471</v>
      </c>
      <c r="G27" s="335">
        <v>200</v>
      </c>
      <c r="H27" s="335"/>
      <c r="I27" s="302">
        <v>1221</v>
      </c>
      <c r="J27" s="302"/>
      <c r="K27" s="302">
        <f t="shared" si="1"/>
        <v>1221</v>
      </c>
      <c r="L27" s="303"/>
      <c r="M27" s="304" t="s">
        <v>99</v>
      </c>
      <c r="N27" s="304" t="s">
        <v>104</v>
      </c>
      <c r="O27" s="302">
        <v>3</v>
      </c>
      <c r="P27" s="300" t="s">
        <v>144</v>
      </c>
      <c r="Q27" s="333" t="s">
        <v>253</v>
      </c>
      <c r="R27" s="300" t="s">
        <v>224</v>
      </c>
      <c r="S27" s="300" t="s">
        <v>216</v>
      </c>
      <c r="T27" s="488"/>
      <c r="U27" s="488"/>
    </row>
    <row r="28" spans="1:21" ht="105" x14ac:dyDescent="0.25">
      <c r="A28" s="441">
        <v>15</v>
      </c>
      <c r="B28" s="288">
        <v>1</v>
      </c>
      <c r="C28" s="336" t="s">
        <v>148</v>
      </c>
      <c r="D28" s="460" t="s">
        <v>262</v>
      </c>
      <c r="E28" s="337" t="s">
        <v>408</v>
      </c>
      <c r="F28" s="337" t="s">
        <v>403</v>
      </c>
      <c r="G28" s="338"/>
      <c r="H28" s="338" t="s">
        <v>388</v>
      </c>
      <c r="I28" s="339"/>
      <c r="J28" s="339"/>
      <c r="K28" s="339">
        <v>361.8</v>
      </c>
      <c r="L28" s="340"/>
      <c r="M28" s="341" t="s">
        <v>99</v>
      </c>
      <c r="N28" s="341"/>
      <c r="O28" s="456">
        <v>250</v>
      </c>
      <c r="P28" s="337" t="s">
        <v>394</v>
      </c>
      <c r="Q28" s="332" t="s">
        <v>566</v>
      </c>
      <c r="R28" s="337" t="s">
        <v>398</v>
      </c>
      <c r="S28" s="337"/>
      <c r="T28" s="488"/>
      <c r="U28" s="488"/>
    </row>
    <row r="29" spans="1:21" ht="135" x14ac:dyDescent="0.25">
      <c r="A29" s="441">
        <v>16</v>
      </c>
      <c r="B29" s="288">
        <v>1</v>
      </c>
      <c r="C29" s="336" t="s">
        <v>148</v>
      </c>
      <c r="D29" s="460" t="s">
        <v>263</v>
      </c>
      <c r="E29" s="337" t="s">
        <v>408</v>
      </c>
      <c r="F29" s="337" t="s">
        <v>403</v>
      </c>
      <c r="G29" s="338"/>
      <c r="H29" s="338" t="s">
        <v>388</v>
      </c>
      <c r="I29" s="339"/>
      <c r="J29" s="339"/>
      <c r="K29" s="339">
        <v>520</v>
      </c>
      <c r="L29" s="340"/>
      <c r="M29" s="341" t="s">
        <v>99</v>
      </c>
      <c r="N29" s="341"/>
      <c r="O29" s="456">
        <v>400</v>
      </c>
      <c r="P29" s="337" t="s">
        <v>395</v>
      </c>
      <c r="Q29" s="332" t="s">
        <v>567</v>
      </c>
      <c r="R29" s="337" t="s">
        <v>399</v>
      </c>
      <c r="S29" s="337"/>
      <c r="T29" s="488"/>
      <c r="U29" s="488"/>
    </row>
    <row r="30" spans="1:21" ht="75" x14ac:dyDescent="0.25">
      <c r="A30" s="441">
        <v>17</v>
      </c>
      <c r="B30" s="288">
        <v>1</v>
      </c>
      <c r="C30" s="323" t="s">
        <v>148</v>
      </c>
      <c r="D30" s="309" t="s">
        <v>268</v>
      </c>
      <c r="E30" s="310" t="s">
        <v>267</v>
      </c>
      <c r="F30" s="310" t="s">
        <v>379</v>
      </c>
      <c r="G30" s="334">
        <v>20</v>
      </c>
      <c r="H30" s="334" t="s">
        <v>389</v>
      </c>
      <c r="I30" s="312"/>
      <c r="J30" s="312"/>
      <c r="K30" s="312">
        <v>651.29999999999995</v>
      </c>
      <c r="L30" s="313">
        <v>500</v>
      </c>
      <c r="M30" s="314" t="s">
        <v>99</v>
      </c>
      <c r="N30" s="314"/>
      <c r="O30" s="312"/>
      <c r="P30" s="310" t="s">
        <v>270</v>
      </c>
      <c r="Q30" s="316" t="s">
        <v>441</v>
      </c>
      <c r="R30" s="291" t="s">
        <v>269</v>
      </c>
      <c r="S30" s="291"/>
      <c r="T30" s="488"/>
      <c r="U30" s="488"/>
    </row>
    <row r="31" spans="1:21" ht="31.5" x14ac:dyDescent="0.25">
      <c r="A31" s="441">
        <v>18</v>
      </c>
      <c r="B31" s="288">
        <v>1</v>
      </c>
      <c r="C31" s="323" t="s">
        <v>148</v>
      </c>
      <c r="D31" s="290" t="s">
        <v>581</v>
      </c>
      <c r="E31" s="291" t="s">
        <v>409</v>
      </c>
      <c r="F31" s="291" t="s">
        <v>299</v>
      </c>
      <c r="G31" s="292"/>
      <c r="H31" s="292" t="s">
        <v>389</v>
      </c>
      <c r="I31" s="293"/>
      <c r="J31" s="293"/>
      <c r="K31" s="442">
        <v>650</v>
      </c>
      <c r="L31" s="294">
        <v>650</v>
      </c>
      <c r="M31" s="329" t="s">
        <v>99</v>
      </c>
      <c r="N31" s="329"/>
      <c r="O31" s="293"/>
      <c r="P31" s="291" t="s">
        <v>422</v>
      </c>
      <c r="Q31" s="330" t="s">
        <v>396</v>
      </c>
      <c r="R31" s="291" t="s">
        <v>400</v>
      </c>
      <c r="S31" s="291"/>
      <c r="T31" s="488"/>
      <c r="U31" s="488"/>
    </row>
    <row r="32" spans="1:21" ht="45" x14ac:dyDescent="0.25">
      <c r="A32" s="441">
        <v>19</v>
      </c>
      <c r="B32" s="288">
        <v>1</v>
      </c>
      <c r="C32" s="323" t="s">
        <v>148</v>
      </c>
      <c r="D32" s="290" t="s">
        <v>582</v>
      </c>
      <c r="E32" s="291" t="s">
        <v>402</v>
      </c>
      <c r="F32" s="291" t="s">
        <v>299</v>
      </c>
      <c r="G32" s="292"/>
      <c r="H32" s="292" t="s">
        <v>389</v>
      </c>
      <c r="I32" s="293"/>
      <c r="J32" s="293"/>
      <c r="K32" s="442">
        <v>1314.2</v>
      </c>
      <c r="L32" s="294">
        <v>1314.2</v>
      </c>
      <c r="M32" s="329" t="s">
        <v>99</v>
      </c>
      <c r="N32" s="329"/>
      <c r="O32" s="293"/>
      <c r="P32" s="291" t="s">
        <v>423</v>
      </c>
      <c r="Q32" s="330" t="s">
        <v>396</v>
      </c>
      <c r="R32" s="291" t="s">
        <v>397</v>
      </c>
      <c r="S32" s="291"/>
      <c r="T32" s="488"/>
      <c r="U32" s="488"/>
    </row>
    <row r="33" spans="1:47" ht="75" x14ac:dyDescent="0.25">
      <c r="A33" s="441">
        <v>20</v>
      </c>
      <c r="B33" s="288">
        <v>1</v>
      </c>
      <c r="C33" s="343" t="s">
        <v>148</v>
      </c>
      <c r="D33" s="344" t="s">
        <v>280</v>
      </c>
      <c r="E33" s="344" t="s">
        <v>402</v>
      </c>
      <c r="F33" s="414" t="s">
        <v>598</v>
      </c>
      <c r="G33" s="345"/>
      <c r="H33" s="345" t="s">
        <v>389</v>
      </c>
      <c r="I33" s="346"/>
      <c r="J33" s="346"/>
      <c r="K33" s="347">
        <v>2000</v>
      </c>
      <c r="L33" s="348">
        <v>2000</v>
      </c>
      <c r="M33" s="349" t="s">
        <v>99</v>
      </c>
      <c r="N33" s="349"/>
      <c r="O33" s="346"/>
      <c r="P33" s="344" t="s">
        <v>424</v>
      </c>
      <c r="Q33" s="332" t="s">
        <v>465</v>
      </c>
      <c r="R33" s="344" t="s">
        <v>288</v>
      </c>
      <c r="S33" s="344"/>
      <c r="T33" s="488"/>
      <c r="U33" s="488"/>
    </row>
    <row r="34" spans="1:47" ht="47.25" x14ac:dyDescent="0.25">
      <c r="A34" s="441">
        <v>21</v>
      </c>
      <c r="B34" s="441">
        <v>1</v>
      </c>
      <c r="C34" s="289" t="s">
        <v>148</v>
      </c>
      <c r="D34" s="290" t="s">
        <v>583</v>
      </c>
      <c r="E34" s="291" t="s">
        <v>297</v>
      </c>
      <c r="F34" s="292" t="s">
        <v>299</v>
      </c>
      <c r="G34" s="292"/>
      <c r="H34" s="293" t="s">
        <v>389</v>
      </c>
      <c r="I34" s="293"/>
      <c r="J34" s="442"/>
      <c r="K34" s="294">
        <v>1833.8</v>
      </c>
      <c r="L34" s="329">
        <v>1833.8</v>
      </c>
      <c r="M34" s="329" t="s">
        <v>99</v>
      </c>
      <c r="N34" s="293"/>
      <c r="O34" s="291"/>
      <c r="P34" s="330" t="s">
        <v>425</v>
      </c>
      <c r="Q34" s="330" t="s">
        <v>464</v>
      </c>
      <c r="R34" s="291" t="s">
        <v>430</v>
      </c>
      <c r="S34" s="289"/>
      <c r="T34" s="490"/>
      <c r="U34" s="490"/>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row>
    <row r="35" spans="1:47" ht="31.5" x14ac:dyDescent="0.25">
      <c r="A35" s="441">
        <v>22</v>
      </c>
      <c r="B35" s="288">
        <v>1</v>
      </c>
      <c r="C35" s="323" t="s">
        <v>148</v>
      </c>
      <c r="D35" s="290" t="s">
        <v>584</v>
      </c>
      <c r="E35" s="291" t="s">
        <v>409</v>
      </c>
      <c r="F35" s="291" t="s">
        <v>299</v>
      </c>
      <c r="G35" s="292"/>
      <c r="H35" s="292" t="s">
        <v>389</v>
      </c>
      <c r="I35" s="293"/>
      <c r="J35" s="293"/>
      <c r="K35" s="442">
        <v>199.5</v>
      </c>
      <c r="L35" s="442">
        <v>199.5</v>
      </c>
      <c r="M35" s="329" t="s">
        <v>129</v>
      </c>
      <c r="N35" s="329"/>
      <c r="O35" s="293"/>
      <c r="P35" s="291" t="s">
        <v>426</v>
      </c>
      <c r="Q35" s="330" t="s">
        <v>417</v>
      </c>
      <c r="R35" s="291" t="s">
        <v>429</v>
      </c>
      <c r="S35" s="291"/>
      <c r="T35" s="488"/>
      <c r="U35" s="488"/>
    </row>
    <row r="36" spans="1:47" ht="65.25" customHeight="1" x14ac:dyDescent="0.25">
      <c r="A36" s="441">
        <v>23</v>
      </c>
      <c r="B36" s="350">
        <v>1</v>
      </c>
      <c r="C36" s="289" t="s">
        <v>148</v>
      </c>
      <c r="D36" s="290" t="s">
        <v>585</v>
      </c>
      <c r="E36" s="291" t="s">
        <v>411</v>
      </c>
      <c r="F36" s="291" t="s">
        <v>299</v>
      </c>
      <c r="G36" s="289">
        <v>10</v>
      </c>
      <c r="H36" s="289"/>
      <c r="I36" s="352">
        <v>601.79999999999995</v>
      </c>
      <c r="J36" s="352"/>
      <c r="K36" s="352">
        <v>601.79999999999995</v>
      </c>
      <c r="L36" s="352"/>
      <c r="M36" s="329" t="s">
        <v>99</v>
      </c>
      <c r="N36" s="352"/>
      <c r="O36" s="352"/>
      <c r="P36" s="291" t="s">
        <v>423</v>
      </c>
      <c r="Q36" s="330" t="s">
        <v>396</v>
      </c>
      <c r="R36" s="353" t="s">
        <v>431</v>
      </c>
      <c r="S36" s="352"/>
      <c r="T36" s="488"/>
      <c r="U36" s="488"/>
    </row>
    <row r="37" spans="1:47" ht="65.25" customHeight="1" x14ac:dyDescent="0.25">
      <c r="A37" s="441">
        <v>24</v>
      </c>
      <c r="B37" s="288">
        <v>1</v>
      </c>
      <c r="C37" s="318" t="s">
        <v>148</v>
      </c>
      <c r="D37" s="319" t="s">
        <v>310</v>
      </c>
      <c r="E37" s="310" t="s">
        <v>334</v>
      </c>
      <c r="F37" s="310" t="s">
        <v>379</v>
      </c>
      <c r="G37" s="318">
        <v>100</v>
      </c>
      <c r="H37" s="318"/>
      <c r="I37" s="321">
        <v>1500</v>
      </c>
      <c r="J37" s="321"/>
      <c r="K37" s="321">
        <v>1500</v>
      </c>
      <c r="L37" s="321"/>
      <c r="M37" s="321" t="s">
        <v>100</v>
      </c>
      <c r="N37" s="321"/>
      <c r="O37" s="321">
        <v>4</v>
      </c>
      <c r="P37" s="354" t="s">
        <v>337</v>
      </c>
      <c r="Q37" s="354" t="s">
        <v>344</v>
      </c>
      <c r="R37" s="354" t="s">
        <v>338</v>
      </c>
      <c r="S37" s="310" t="s">
        <v>305</v>
      </c>
      <c r="T37" s="488"/>
      <c r="U37" s="488"/>
    </row>
    <row r="38" spans="1:47" ht="29.25" customHeight="1" x14ac:dyDescent="0.25">
      <c r="A38" s="441"/>
      <c r="B38" s="288"/>
      <c r="C38" s="467" t="s">
        <v>151</v>
      </c>
      <c r="D38" s="468"/>
      <c r="E38" s="468"/>
      <c r="F38" s="468"/>
      <c r="G38" s="468"/>
      <c r="H38" s="468"/>
      <c r="I38" s="468"/>
      <c r="J38" s="468"/>
      <c r="K38" s="468"/>
      <c r="L38" s="468"/>
      <c r="M38" s="468"/>
      <c r="N38" s="468"/>
      <c r="O38" s="468"/>
      <c r="P38" s="468"/>
      <c r="Q38" s="468"/>
      <c r="R38" s="468"/>
      <c r="S38" s="469"/>
      <c r="T38" s="492"/>
      <c r="U38" s="492"/>
    </row>
    <row r="39" spans="1:47" ht="135" x14ac:dyDescent="0.25">
      <c r="A39" s="441">
        <v>25</v>
      </c>
      <c r="B39" s="288">
        <v>1</v>
      </c>
      <c r="C39" s="298" t="s">
        <v>151</v>
      </c>
      <c r="D39" s="331" t="s">
        <v>550</v>
      </c>
      <c r="E39" s="300" t="s">
        <v>38</v>
      </c>
      <c r="F39" s="300" t="s">
        <v>471</v>
      </c>
      <c r="G39" s="301">
        <v>70</v>
      </c>
      <c r="H39" s="301"/>
      <c r="I39" s="302">
        <v>15000</v>
      </c>
      <c r="J39" s="302"/>
      <c r="K39" s="302">
        <f>I39</f>
        <v>15000</v>
      </c>
      <c r="L39" s="303">
        <v>15000</v>
      </c>
      <c r="M39" s="304" t="s">
        <v>104</v>
      </c>
      <c r="N39" s="304"/>
      <c r="O39" s="302">
        <v>15</v>
      </c>
      <c r="P39" s="300" t="s">
        <v>161</v>
      </c>
      <c r="Q39" s="333" t="s">
        <v>246</v>
      </c>
      <c r="R39" s="305" t="s">
        <v>235</v>
      </c>
      <c r="S39" s="300" t="s">
        <v>214</v>
      </c>
      <c r="T39" s="488"/>
      <c r="U39" s="488"/>
    </row>
    <row r="40" spans="1:47" ht="90" x14ac:dyDescent="0.25">
      <c r="A40" s="441">
        <v>26</v>
      </c>
      <c r="B40" s="288">
        <v>1</v>
      </c>
      <c r="C40" s="308" t="s">
        <v>151</v>
      </c>
      <c r="D40" s="462" t="s">
        <v>551</v>
      </c>
      <c r="E40" s="463" t="s">
        <v>191</v>
      </c>
      <c r="F40" s="463" t="s">
        <v>316</v>
      </c>
      <c r="G40" s="311">
        <v>10</v>
      </c>
      <c r="H40" s="356" t="s">
        <v>389</v>
      </c>
      <c r="I40" s="312"/>
      <c r="J40" s="312"/>
      <c r="K40" s="461">
        <v>1800</v>
      </c>
      <c r="L40" s="461">
        <v>1800</v>
      </c>
      <c r="M40" s="314" t="s">
        <v>596</v>
      </c>
      <c r="N40" s="314"/>
      <c r="O40" s="312"/>
      <c r="P40" s="310" t="s">
        <v>192</v>
      </c>
      <c r="Q40" s="444" t="s">
        <v>597</v>
      </c>
      <c r="R40" s="315" t="s">
        <v>171</v>
      </c>
      <c r="S40" s="310" t="s">
        <v>215</v>
      </c>
      <c r="T40" s="488"/>
      <c r="U40" s="488"/>
    </row>
    <row r="41" spans="1:47" ht="135" x14ac:dyDescent="0.25">
      <c r="A41" s="441"/>
      <c r="B41" s="288"/>
      <c r="C41" s="308"/>
      <c r="D41" s="309" t="s">
        <v>551</v>
      </c>
      <c r="E41" s="310" t="s">
        <v>411</v>
      </c>
      <c r="F41" s="310" t="s">
        <v>379</v>
      </c>
      <c r="G41" s="311">
        <v>10</v>
      </c>
      <c r="H41" s="356"/>
      <c r="I41" s="312">
        <v>750</v>
      </c>
      <c r="J41" s="312"/>
      <c r="K41" s="312"/>
      <c r="L41" s="313"/>
      <c r="M41" s="314" t="s">
        <v>596</v>
      </c>
      <c r="N41" s="314"/>
      <c r="O41" s="312">
        <v>3080</v>
      </c>
      <c r="P41" s="310"/>
      <c r="Q41" s="355" t="s">
        <v>254</v>
      </c>
      <c r="R41" s="315"/>
      <c r="S41" s="310"/>
      <c r="T41" s="488"/>
      <c r="U41" s="488"/>
    </row>
    <row r="42" spans="1:47" ht="83.25" customHeight="1" x14ac:dyDescent="0.25">
      <c r="A42" s="441">
        <v>28</v>
      </c>
      <c r="B42" s="288">
        <v>1</v>
      </c>
      <c r="C42" s="356" t="s">
        <v>151</v>
      </c>
      <c r="D42" s="319" t="s">
        <v>272</v>
      </c>
      <c r="E42" s="310" t="s">
        <v>264</v>
      </c>
      <c r="F42" s="310" t="s">
        <v>379</v>
      </c>
      <c r="G42" s="356">
        <v>18</v>
      </c>
      <c r="H42" s="356" t="s">
        <v>389</v>
      </c>
      <c r="I42" s="357"/>
      <c r="J42" s="357"/>
      <c r="K42" s="358">
        <v>2400</v>
      </c>
      <c r="L42" s="358">
        <v>1400</v>
      </c>
      <c r="M42" s="358" t="s">
        <v>104</v>
      </c>
      <c r="N42" s="357"/>
      <c r="O42" s="357"/>
      <c r="P42" s="359" t="s">
        <v>427</v>
      </c>
      <c r="Q42" s="360" t="s">
        <v>428</v>
      </c>
      <c r="R42" s="310" t="s">
        <v>265</v>
      </c>
      <c r="S42" s="310" t="s">
        <v>266</v>
      </c>
      <c r="T42" s="488"/>
      <c r="U42" s="488"/>
    </row>
    <row r="43" spans="1:47" ht="75" x14ac:dyDescent="0.25">
      <c r="A43" s="441">
        <v>29</v>
      </c>
      <c r="B43" s="288">
        <v>1</v>
      </c>
      <c r="C43" s="323" t="s">
        <v>151</v>
      </c>
      <c r="D43" s="290" t="s">
        <v>587</v>
      </c>
      <c r="E43" s="291" t="s">
        <v>408</v>
      </c>
      <c r="F43" s="291" t="s">
        <v>299</v>
      </c>
      <c r="G43" s="328"/>
      <c r="H43" s="292" t="s">
        <v>388</v>
      </c>
      <c r="I43" s="293"/>
      <c r="J43" s="293"/>
      <c r="K43" s="445">
        <v>941</v>
      </c>
      <c r="L43" s="294"/>
      <c r="M43" s="329" t="s">
        <v>129</v>
      </c>
      <c r="N43" s="457" t="s">
        <v>129</v>
      </c>
      <c r="O43" s="456">
        <v>488</v>
      </c>
      <c r="P43" s="291" t="s">
        <v>432</v>
      </c>
      <c r="Q43" s="444" t="s">
        <v>568</v>
      </c>
      <c r="R43" s="361" t="s">
        <v>413</v>
      </c>
      <c r="S43" s="324"/>
      <c r="T43" s="488"/>
      <c r="U43" s="488"/>
    </row>
    <row r="44" spans="1:47" ht="75" x14ac:dyDescent="0.25">
      <c r="A44" s="441">
        <v>30</v>
      </c>
      <c r="B44" s="288">
        <v>1</v>
      </c>
      <c r="C44" s="318" t="s">
        <v>442</v>
      </c>
      <c r="D44" s="319" t="s">
        <v>447</v>
      </c>
      <c r="E44" s="310" t="s">
        <v>443</v>
      </c>
      <c r="F44" s="310" t="s">
        <v>379</v>
      </c>
      <c r="G44" s="318">
        <v>6000</v>
      </c>
      <c r="H44" s="318" t="s">
        <v>460</v>
      </c>
      <c r="I44" s="310"/>
      <c r="J44" s="310"/>
      <c r="K44" s="358">
        <v>146300</v>
      </c>
      <c r="L44" s="310"/>
      <c r="M44" s="310" t="s">
        <v>98</v>
      </c>
      <c r="N44" s="310"/>
      <c r="O44" s="310"/>
      <c r="P44" s="362" t="s">
        <v>445</v>
      </c>
      <c r="Q44" s="316" t="s">
        <v>446</v>
      </c>
      <c r="R44" s="310"/>
      <c r="S44" s="310"/>
      <c r="T44" s="488"/>
      <c r="U44" s="488"/>
    </row>
    <row r="45" spans="1:47" ht="45" x14ac:dyDescent="0.25">
      <c r="A45" s="441">
        <v>31</v>
      </c>
      <c r="B45" s="288">
        <v>1</v>
      </c>
      <c r="C45" s="363" t="s">
        <v>151</v>
      </c>
      <c r="D45" s="319" t="s">
        <v>287</v>
      </c>
      <c r="E45" s="310" t="s">
        <v>402</v>
      </c>
      <c r="F45" s="310" t="s">
        <v>379</v>
      </c>
      <c r="G45" s="318"/>
      <c r="H45" s="318" t="s">
        <v>389</v>
      </c>
      <c r="I45" s="310"/>
      <c r="J45" s="310"/>
      <c r="K45" s="358">
        <v>1472.2</v>
      </c>
      <c r="L45" s="310">
        <v>1472.2</v>
      </c>
      <c r="M45" s="310" t="s">
        <v>99</v>
      </c>
      <c r="N45" s="310"/>
      <c r="O45" s="310"/>
      <c r="P45" s="362" t="s">
        <v>433</v>
      </c>
      <c r="Q45" s="444" t="s">
        <v>466</v>
      </c>
      <c r="R45" s="366" t="s">
        <v>288</v>
      </c>
      <c r="S45" s="342"/>
      <c r="T45" s="488"/>
      <c r="U45" s="488"/>
    </row>
    <row r="46" spans="1:47" ht="42" customHeight="1" x14ac:dyDescent="0.25">
      <c r="A46" s="441"/>
      <c r="B46" s="288"/>
      <c r="C46" s="467" t="s">
        <v>149</v>
      </c>
      <c r="D46" s="468"/>
      <c r="E46" s="468"/>
      <c r="F46" s="468"/>
      <c r="G46" s="468"/>
      <c r="H46" s="468"/>
      <c r="I46" s="468"/>
      <c r="J46" s="468"/>
      <c r="K46" s="468"/>
      <c r="L46" s="468"/>
      <c r="M46" s="468"/>
      <c r="N46" s="468"/>
      <c r="O46" s="468"/>
      <c r="P46" s="468"/>
      <c r="Q46" s="468"/>
      <c r="R46" s="468"/>
      <c r="S46" s="469"/>
      <c r="T46" s="492"/>
      <c r="U46" s="492"/>
    </row>
    <row r="47" spans="1:47" ht="135" x14ac:dyDescent="0.25">
      <c r="A47" s="441">
        <v>32</v>
      </c>
      <c r="B47" s="288">
        <v>1</v>
      </c>
      <c r="C47" s="308" t="s">
        <v>149</v>
      </c>
      <c r="D47" s="326" t="s">
        <v>552</v>
      </c>
      <c r="E47" s="310" t="s">
        <v>36</v>
      </c>
      <c r="F47" s="310" t="s">
        <v>379</v>
      </c>
      <c r="G47" s="308">
        <v>60</v>
      </c>
      <c r="H47" s="308"/>
      <c r="I47" s="358">
        <v>550</v>
      </c>
      <c r="J47" s="358"/>
      <c r="K47" s="312">
        <f t="shared" ref="K47:K48" si="2">I47</f>
        <v>550</v>
      </c>
      <c r="L47" s="367"/>
      <c r="M47" s="314" t="s">
        <v>99</v>
      </c>
      <c r="N47" s="314" t="s">
        <v>104</v>
      </c>
      <c r="O47" s="312">
        <v>6</v>
      </c>
      <c r="P47" s="310" t="s">
        <v>145</v>
      </c>
      <c r="Q47" s="316" t="s">
        <v>195</v>
      </c>
      <c r="R47" s="315" t="s">
        <v>184</v>
      </c>
      <c r="S47" s="310" t="s">
        <v>229</v>
      </c>
      <c r="T47" s="488"/>
      <c r="U47" s="488"/>
    </row>
    <row r="48" spans="1:47" ht="150" x14ac:dyDescent="0.25">
      <c r="A48" s="441">
        <v>33</v>
      </c>
      <c r="B48" s="288">
        <v>1</v>
      </c>
      <c r="C48" s="308" t="s">
        <v>149</v>
      </c>
      <c r="D48" s="309" t="s">
        <v>553</v>
      </c>
      <c r="E48" s="310" t="s">
        <v>60</v>
      </c>
      <c r="F48" s="310" t="s">
        <v>379</v>
      </c>
      <c r="G48" s="311">
        <v>30</v>
      </c>
      <c r="H48" s="308" t="s">
        <v>389</v>
      </c>
      <c r="I48" s="312">
        <v>5000</v>
      </c>
      <c r="J48" s="312"/>
      <c r="K48" s="312">
        <f t="shared" si="2"/>
        <v>5000</v>
      </c>
      <c r="L48" s="313">
        <v>1500</v>
      </c>
      <c r="M48" s="314" t="s">
        <v>99</v>
      </c>
      <c r="N48" s="314"/>
      <c r="O48" s="312">
        <v>1700</v>
      </c>
      <c r="P48" s="310" t="s">
        <v>146</v>
      </c>
      <c r="Q48" s="316" t="s">
        <v>247</v>
      </c>
      <c r="R48" s="315" t="s">
        <v>206</v>
      </c>
      <c r="S48" s="310" t="s">
        <v>230</v>
      </c>
      <c r="T48" s="488"/>
      <c r="U48" s="488"/>
    </row>
    <row r="49" spans="1:21" ht="75" x14ac:dyDescent="0.25">
      <c r="A49" s="441">
        <v>34</v>
      </c>
      <c r="B49" s="288">
        <v>1</v>
      </c>
      <c r="C49" s="323" t="s">
        <v>149</v>
      </c>
      <c r="D49" s="290" t="s">
        <v>586</v>
      </c>
      <c r="E49" s="291" t="s">
        <v>408</v>
      </c>
      <c r="F49" s="291" t="s">
        <v>299</v>
      </c>
      <c r="G49" s="328">
        <v>20</v>
      </c>
      <c r="H49" s="292" t="s">
        <v>388</v>
      </c>
      <c r="I49" s="293"/>
      <c r="J49" s="293"/>
      <c r="K49" s="293">
        <v>386</v>
      </c>
      <c r="L49" s="294"/>
      <c r="M49" s="329" t="s">
        <v>99</v>
      </c>
      <c r="N49" s="329"/>
      <c r="O49" s="456" t="s">
        <v>570</v>
      </c>
      <c r="P49" s="291" t="s">
        <v>414</v>
      </c>
      <c r="Q49" s="332" t="s">
        <v>569</v>
      </c>
      <c r="R49" s="361"/>
      <c r="S49" s="324"/>
      <c r="T49" s="488"/>
      <c r="U49" s="488"/>
    </row>
    <row r="50" spans="1:21" ht="75" x14ac:dyDescent="0.25">
      <c r="A50" s="441">
        <v>35</v>
      </c>
      <c r="B50" s="288">
        <v>1</v>
      </c>
      <c r="C50" s="323" t="s">
        <v>149</v>
      </c>
      <c r="D50" s="290" t="s">
        <v>588</v>
      </c>
      <c r="E50" s="291" t="s">
        <v>404</v>
      </c>
      <c r="F50" s="291" t="s">
        <v>299</v>
      </c>
      <c r="G50" s="328">
        <v>10</v>
      </c>
      <c r="H50" s="292" t="s">
        <v>388</v>
      </c>
      <c r="I50" s="293"/>
      <c r="J50" s="293"/>
      <c r="K50" s="293">
        <v>142</v>
      </c>
      <c r="L50" s="294"/>
      <c r="M50" s="329" t="s">
        <v>129</v>
      </c>
      <c r="N50" s="329"/>
      <c r="O50" s="456" t="s">
        <v>571</v>
      </c>
      <c r="P50" s="291" t="s">
        <v>415</v>
      </c>
      <c r="Q50" s="330" t="s">
        <v>412</v>
      </c>
      <c r="R50" s="361"/>
      <c r="S50" s="324"/>
      <c r="T50" s="488"/>
      <c r="U50" s="488"/>
    </row>
    <row r="51" spans="1:21" ht="47.25" x14ac:dyDescent="0.25">
      <c r="A51" s="441">
        <v>36</v>
      </c>
      <c r="B51" s="288">
        <v>1</v>
      </c>
      <c r="C51" s="323" t="s">
        <v>149</v>
      </c>
      <c r="D51" s="290" t="s">
        <v>589</v>
      </c>
      <c r="E51" s="291" t="s">
        <v>409</v>
      </c>
      <c r="F51" s="291" t="s">
        <v>299</v>
      </c>
      <c r="G51" s="328">
        <v>19</v>
      </c>
      <c r="H51" s="293" t="s">
        <v>389</v>
      </c>
      <c r="I51" s="293"/>
      <c r="J51" s="293"/>
      <c r="K51" s="442">
        <v>553.6</v>
      </c>
      <c r="L51" s="442">
        <v>553.6</v>
      </c>
      <c r="M51" s="329" t="s">
        <v>129</v>
      </c>
      <c r="N51" s="329"/>
      <c r="O51" s="293">
        <v>1162</v>
      </c>
      <c r="P51" s="291" t="s">
        <v>416</v>
      </c>
      <c r="Q51" s="330" t="s">
        <v>417</v>
      </c>
      <c r="R51" s="325" t="s">
        <v>275</v>
      </c>
      <c r="S51" s="324"/>
      <c r="T51" s="488"/>
      <c r="U51" s="488"/>
    </row>
    <row r="52" spans="1:21" ht="31.5" x14ac:dyDescent="0.25">
      <c r="A52" s="441">
        <v>37</v>
      </c>
      <c r="B52" s="288">
        <v>1</v>
      </c>
      <c r="C52" s="323" t="s">
        <v>149</v>
      </c>
      <c r="D52" s="290" t="s">
        <v>590</v>
      </c>
      <c r="E52" s="291" t="s">
        <v>409</v>
      </c>
      <c r="F52" s="291" t="s">
        <v>299</v>
      </c>
      <c r="G52" s="328">
        <v>23</v>
      </c>
      <c r="H52" s="293" t="s">
        <v>389</v>
      </c>
      <c r="I52" s="293"/>
      <c r="J52" s="293"/>
      <c r="K52" s="442">
        <v>1209.8</v>
      </c>
      <c r="L52" s="442">
        <v>1209.8</v>
      </c>
      <c r="M52" s="329" t="s">
        <v>129</v>
      </c>
      <c r="N52" s="329"/>
      <c r="O52" s="293">
        <v>5400</v>
      </c>
      <c r="P52" s="291" t="s">
        <v>418</v>
      </c>
      <c r="Q52" s="330" t="s">
        <v>417</v>
      </c>
      <c r="R52" s="325" t="s">
        <v>276</v>
      </c>
      <c r="S52" s="324"/>
      <c r="T52" s="488"/>
      <c r="U52" s="488"/>
    </row>
    <row r="53" spans="1:21" ht="31.5" x14ac:dyDescent="0.25">
      <c r="A53" s="441">
        <v>38</v>
      </c>
      <c r="B53" s="288">
        <v>1</v>
      </c>
      <c r="C53" s="323" t="s">
        <v>149</v>
      </c>
      <c r="D53" s="290" t="s">
        <v>591</v>
      </c>
      <c r="E53" s="291" t="s">
        <v>409</v>
      </c>
      <c r="F53" s="291" t="s">
        <v>299</v>
      </c>
      <c r="G53" s="328">
        <v>50</v>
      </c>
      <c r="H53" s="293" t="s">
        <v>389</v>
      </c>
      <c r="I53" s="293"/>
      <c r="J53" s="293"/>
      <c r="K53" s="442">
        <v>300.7</v>
      </c>
      <c r="L53" s="442">
        <v>300.7</v>
      </c>
      <c r="M53" s="329" t="s">
        <v>129</v>
      </c>
      <c r="N53" s="329"/>
      <c r="O53" s="293">
        <v>184</v>
      </c>
      <c r="P53" s="291" t="s">
        <v>419</v>
      </c>
      <c r="Q53" s="330" t="s">
        <v>417</v>
      </c>
      <c r="R53" s="325" t="s">
        <v>277</v>
      </c>
      <c r="S53" s="324"/>
      <c r="T53" s="488"/>
      <c r="U53" s="488"/>
    </row>
    <row r="54" spans="1:21" ht="45" x14ac:dyDescent="0.25">
      <c r="A54" s="441">
        <v>39</v>
      </c>
      <c r="B54" s="288">
        <v>1</v>
      </c>
      <c r="C54" s="318" t="s">
        <v>149</v>
      </c>
      <c r="D54" s="319" t="s">
        <v>311</v>
      </c>
      <c r="E54" s="310" t="s">
        <v>333</v>
      </c>
      <c r="F54" s="310" t="s">
        <v>379</v>
      </c>
      <c r="G54" s="318">
        <v>100</v>
      </c>
      <c r="H54" s="318"/>
      <c r="I54" s="321">
        <v>650</v>
      </c>
      <c r="J54" s="321"/>
      <c r="K54" s="321">
        <v>650</v>
      </c>
      <c r="L54" s="321"/>
      <c r="M54" s="321" t="s">
        <v>104</v>
      </c>
      <c r="N54" s="321"/>
      <c r="O54" s="321">
        <v>282</v>
      </c>
      <c r="P54" s="354" t="s">
        <v>339</v>
      </c>
      <c r="Q54" s="368" t="s">
        <v>345</v>
      </c>
      <c r="R54" s="310"/>
      <c r="S54" s="310" t="s">
        <v>305</v>
      </c>
      <c r="T54" s="488"/>
      <c r="U54" s="488"/>
    </row>
    <row r="55" spans="1:21" ht="45" x14ac:dyDescent="0.25">
      <c r="A55" s="441">
        <v>40</v>
      </c>
      <c r="B55" s="288">
        <v>1</v>
      </c>
      <c r="C55" s="318" t="s">
        <v>149</v>
      </c>
      <c r="D55" s="319" t="s">
        <v>313</v>
      </c>
      <c r="E55" s="354" t="s">
        <v>332</v>
      </c>
      <c r="F55" s="310" t="s">
        <v>379</v>
      </c>
      <c r="G55" s="318">
        <v>18</v>
      </c>
      <c r="H55" s="318"/>
      <c r="I55" s="321">
        <v>700</v>
      </c>
      <c r="J55" s="321"/>
      <c r="K55" s="321">
        <v>700</v>
      </c>
      <c r="L55" s="321"/>
      <c r="M55" s="321" t="s">
        <v>98</v>
      </c>
      <c r="N55" s="321"/>
      <c r="O55" s="321">
        <v>390.2</v>
      </c>
      <c r="P55" s="310" t="s">
        <v>340</v>
      </c>
      <c r="Q55" s="368" t="s">
        <v>341</v>
      </c>
      <c r="R55" s="310"/>
      <c r="S55" s="310"/>
      <c r="T55" s="488"/>
      <c r="U55" s="488"/>
    </row>
    <row r="56" spans="1:21" ht="135" x14ac:dyDescent="0.25">
      <c r="A56" s="441">
        <v>41</v>
      </c>
      <c r="B56" s="288">
        <v>1</v>
      </c>
      <c r="C56" s="318" t="s">
        <v>149</v>
      </c>
      <c r="D56" s="319" t="s">
        <v>312</v>
      </c>
      <c r="E56" s="354" t="s">
        <v>331</v>
      </c>
      <c r="F56" s="310" t="s">
        <v>379</v>
      </c>
      <c r="G56" s="318">
        <v>27</v>
      </c>
      <c r="H56" s="318"/>
      <c r="I56" s="321">
        <v>670</v>
      </c>
      <c r="J56" s="321"/>
      <c r="K56" s="321">
        <v>670</v>
      </c>
      <c r="L56" s="321"/>
      <c r="M56" s="321" t="s">
        <v>104</v>
      </c>
      <c r="N56" s="321"/>
      <c r="O56" s="321">
        <v>3.2</v>
      </c>
      <c r="P56" s="354" t="s">
        <v>342</v>
      </c>
      <c r="Q56" s="368" t="s">
        <v>343</v>
      </c>
      <c r="R56" s="310"/>
      <c r="S56" s="310" t="s">
        <v>305</v>
      </c>
      <c r="T56" s="488"/>
      <c r="U56" s="488"/>
    </row>
    <row r="57" spans="1:21" ht="39.75" customHeight="1" x14ac:dyDescent="0.25">
      <c r="A57" s="441"/>
      <c r="B57" s="288"/>
      <c r="C57" s="467" t="s">
        <v>150</v>
      </c>
      <c r="D57" s="468"/>
      <c r="E57" s="468"/>
      <c r="F57" s="468"/>
      <c r="G57" s="468"/>
      <c r="H57" s="468"/>
      <c r="I57" s="468"/>
      <c r="J57" s="468"/>
      <c r="K57" s="468"/>
      <c r="L57" s="468"/>
      <c r="M57" s="468"/>
      <c r="N57" s="468"/>
      <c r="O57" s="468"/>
      <c r="P57" s="468"/>
      <c r="Q57" s="468"/>
      <c r="R57" s="468"/>
      <c r="S57" s="469"/>
      <c r="T57" s="492"/>
      <c r="U57" s="492"/>
    </row>
    <row r="58" spans="1:21" ht="87.75" customHeight="1" x14ac:dyDescent="0.25">
      <c r="A58" s="441">
        <v>42</v>
      </c>
      <c r="B58" s="288">
        <v>1</v>
      </c>
      <c r="C58" s="308" t="s">
        <v>150</v>
      </c>
      <c r="D58" s="309" t="s">
        <v>554</v>
      </c>
      <c r="E58" s="310" t="s">
        <v>74</v>
      </c>
      <c r="F58" s="310" t="s">
        <v>379</v>
      </c>
      <c r="G58" s="311">
        <v>250</v>
      </c>
      <c r="H58" s="311"/>
      <c r="I58" s="312">
        <v>15800</v>
      </c>
      <c r="J58" s="312"/>
      <c r="K58" s="312">
        <f>I58</f>
        <v>15800</v>
      </c>
      <c r="L58" s="312">
        <v>5000</v>
      </c>
      <c r="M58" s="314" t="s">
        <v>104</v>
      </c>
      <c r="N58" s="314" t="s">
        <v>104</v>
      </c>
      <c r="O58" s="312">
        <v>10</v>
      </c>
      <c r="P58" s="315" t="s">
        <v>140</v>
      </c>
      <c r="Q58" s="316" t="s">
        <v>439</v>
      </c>
      <c r="R58" s="315" t="s">
        <v>205</v>
      </c>
      <c r="S58" s="310" t="s">
        <v>214</v>
      </c>
      <c r="T58" s="488"/>
      <c r="U58" s="488"/>
    </row>
    <row r="59" spans="1:21" ht="270" x14ac:dyDescent="0.25">
      <c r="A59" s="441">
        <v>43</v>
      </c>
      <c r="B59" s="288">
        <v>1</v>
      </c>
      <c r="C59" s="298" t="s">
        <v>150</v>
      </c>
      <c r="D59" s="300" t="s">
        <v>285</v>
      </c>
      <c r="E59" s="300" t="s">
        <v>401</v>
      </c>
      <c r="F59" s="320" t="s">
        <v>471</v>
      </c>
      <c r="G59" s="301"/>
      <c r="H59" s="369" t="s">
        <v>389</v>
      </c>
      <c r="I59" s="302"/>
      <c r="J59" s="302"/>
      <c r="K59" s="302">
        <v>994</v>
      </c>
      <c r="L59" s="302">
        <v>994</v>
      </c>
      <c r="M59" s="304" t="s">
        <v>99</v>
      </c>
      <c r="N59" s="304"/>
      <c r="O59" s="302"/>
      <c r="P59" s="305"/>
      <c r="Q59" s="333" t="s">
        <v>438</v>
      </c>
      <c r="R59" s="305" t="s">
        <v>286</v>
      </c>
      <c r="S59" s="300"/>
      <c r="T59" s="488"/>
      <c r="U59" s="488"/>
    </row>
    <row r="60" spans="1:21" ht="75" x14ac:dyDescent="0.25">
      <c r="A60" s="441">
        <v>44</v>
      </c>
      <c r="B60" s="288">
        <v>1</v>
      </c>
      <c r="C60" s="363" t="s">
        <v>150</v>
      </c>
      <c r="D60" s="370" t="s">
        <v>369</v>
      </c>
      <c r="E60" s="342" t="s">
        <v>370</v>
      </c>
      <c r="F60" s="342" t="s">
        <v>316</v>
      </c>
      <c r="G60" s="371">
        <v>60</v>
      </c>
      <c r="H60" s="371" t="s">
        <v>389</v>
      </c>
      <c r="I60" s="364"/>
      <c r="J60" s="364"/>
      <c r="K60" s="372">
        <v>2500</v>
      </c>
      <c r="L60" s="372">
        <v>2500</v>
      </c>
      <c r="M60" s="365" t="s">
        <v>595</v>
      </c>
      <c r="N60" s="364"/>
      <c r="O60" s="373"/>
      <c r="P60" s="342" t="s">
        <v>371</v>
      </c>
      <c r="Q60" s="374" t="s">
        <v>372</v>
      </c>
      <c r="R60" s="375" t="s">
        <v>373</v>
      </c>
      <c r="S60" s="342" t="s">
        <v>368</v>
      </c>
      <c r="T60" s="488"/>
      <c r="U60" s="488"/>
    </row>
    <row r="61" spans="1:21" ht="37.5" customHeight="1" x14ac:dyDescent="0.25">
      <c r="A61" s="441"/>
      <c r="B61" s="288"/>
      <c r="C61" s="467" t="s">
        <v>152</v>
      </c>
      <c r="D61" s="468"/>
      <c r="E61" s="468"/>
      <c r="F61" s="468"/>
      <c r="G61" s="468"/>
      <c r="H61" s="468"/>
      <c r="I61" s="468"/>
      <c r="J61" s="468"/>
      <c r="K61" s="468"/>
      <c r="L61" s="468"/>
      <c r="M61" s="468"/>
      <c r="N61" s="468"/>
      <c r="O61" s="468"/>
      <c r="P61" s="468"/>
      <c r="Q61" s="468"/>
      <c r="R61" s="468"/>
      <c r="S61" s="469"/>
      <c r="T61" s="492"/>
      <c r="U61" s="492"/>
    </row>
    <row r="62" spans="1:21" ht="150" x14ac:dyDescent="0.25">
      <c r="A62" s="441">
        <v>45</v>
      </c>
      <c r="B62" s="288">
        <v>1</v>
      </c>
      <c r="C62" s="289" t="s">
        <v>152</v>
      </c>
      <c r="D62" s="327" t="s">
        <v>555</v>
      </c>
      <c r="E62" s="291" t="s">
        <v>42</v>
      </c>
      <c r="F62" s="291" t="s">
        <v>299</v>
      </c>
      <c r="G62" s="289">
        <v>100</v>
      </c>
      <c r="H62" s="289"/>
      <c r="I62" s="293">
        <v>750</v>
      </c>
      <c r="J62" s="293"/>
      <c r="K62" s="293">
        <v>1500</v>
      </c>
      <c r="L62" s="294">
        <v>0</v>
      </c>
      <c r="M62" s="329" t="s">
        <v>129</v>
      </c>
      <c r="N62" s="329"/>
      <c r="O62" s="293">
        <v>2512</v>
      </c>
      <c r="P62" s="353" t="s">
        <v>162</v>
      </c>
      <c r="Q62" s="330" t="s">
        <v>238</v>
      </c>
      <c r="R62" s="353" t="s">
        <v>204</v>
      </c>
      <c r="S62" s="291" t="s">
        <v>217</v>
      </c>
      <c r="T62" s="488"/>
      <c r="U62" s="488"/>
    </row>
    <row r="63" spans="1:21" ht="150" x14ac:dyDescent="0.25">
      <c r="A63" s="441">
        <v>46</v>
      </c>
      <c r="B63" s="288">
        <v>1</v>
      </c>
      <c r="C63" s="376" t="s">
        <v>152</v>
      </c>
      <c r="D63" s="290" t="s">
        <v>453</v>
      </c>
      <c r="E63" s="291" t="s">
        <v>454</v>
      </c>
      <c r="F63" s="291" t="s">
        <v>299</v>
      </c>
      <c r="G63" s="379">
        <v>23</v>
      </c>
      <c r="H63" s="379" t="s">
        <v>455</v>
      </c>
      <c r="I63" s="291"/>
      <c r="J63" s="291"/>
      <c r="K63" s="399">
        <v>5500</v>
      </c>
      <c r="L63" s="291"/>
      <c r="M63" s="291" t="s">
        <v>99</v>
      </c>
      <c r="N63" s="291"/>
      <c r="O63" s="291"/>
      <c r="P63" s="291" t="s">
        <v>456</v>
      </c>
      <c r="Q63" s="330" t="s">
        <v>457</v>
      </c>
      <c r="R63" s="324"/>
      <c r="S63" s="324"/>
      <c r="T63" s="488"/>
      <c r="U63" s="488"/>
    </row>
    <row r="64" spans="1:21" ht="150" x14ac:dyDescent="0.25">
      <c r="A64" s="441">
        <v>47</v>
      </c>
      <c r="B64" s="288">
        <v>1</v>
      </c>
      <c r="C64" s="318" t="s">
        <v>152</v>
      </c>
      <c r="D64" s="319" t="s">
        <v>458</v>
      </c>
      <c r="E64" s="310" t="s">
        <v>459</v>
      </c>
      <c r="F64" s="310" t="s">
        <v>379</v>
      </c>
      <c r="G64" s="318">
        <v>400</v>
      </c>
      <c r="H64" s="318" t="s">
        <v>460</v>
      </c>
      <c r="I64" s="310"/>
      <c r="J64" s="358">
        <v>17300</v>
      </c>
      <c r="K64" s="310"/>
      <c r="L64" s="358">
        <v>13408.8</v>
      </c>
      <c r="M64" s="310" t="s">
        <v>473</v>
      </c>
      <c r="N64" s="310"/>
      <c r="O64" s="358">
        <v>8</v>
      </c>
      <c r="P64" s="310" t="s">
        <v>462</v>
      </c>
      <c r="Q64" s="316" t="s">
        <v>461</v>
      </c>
      <c r="R64" s="310"/>
      <c r="S64" s="310"/>
      <c r="T64" s="488"/>
      <c r="U64" s="488"/>
    </row>
    <row r="65" spans="1:21" ht="31.5" x14ac:dyDescent="0.25">
      <c r="A65" s="441">
        <v>48</v>
      </c>
      <c r="B65" s="288">
        <v>1</v>
      </c>
      <c r="C65" s="323" t="s">
        <v>152</v>
      </c>
      <c r="D65" s="290" t="s">
        <v>592</v>
      </c>
      <c r="E65" s="291" t="s">
        <v>409</v>
      </c>
      <c r="F65" s="291" t="s">
        <v>299</v>
      </c>
      <c r="G65" s="328"/>
      <c r="H65" s="328" t="s">
        <v>389</v>
      </c>
      <c r="I65" s="293"/>
      <c r="J65" s="293"/>
      <c r="K65" s="442">
        <v>500</v>
      </c>
      <c r="L65" s="442">
        <v>500</v>
      </c>
      <c r="M65" s="329" t="s">
        <v>129</v>
      </c>
      <c r="N65" s="329"/>
      <c r="O65" s="293"/>
      <c r="P65" s="353" t="s">
        <v>434</v>
      </c>
      <c r="Q65" s="330" t="s">
        <v>417</v>
      </c>
      <c r="R65" s="361" t="s">
        <v>271</v>
      </c>
      <c r="S65" s="324"/>
      <c r="T65" s="488"/>
      <c r="U65" s="488"/>
    </row>
    <row r="66" spans="1:21" ht="30" customHeight="1" x14ac:dyDescent="0.25">
      <c r="A66" s="441"/>
      <c r="B66" s="288"/>
      <c r="C66" s="467" t="s">
        <v>153</v>
      </c>
      <c r="D66" s="468"/>
      <c r="E66" s="468"/>
      <c r="F66" s="468"/>
      <c r="G66" s="468"/>
      <c r="H66" s="468"/>
      <c r="I66" s="468"/>
      <c r="J66" s="468"/>
      <c r="K66" s="468"/>
      <c r="L66" s="468"/>
      <c r="M66" s="468"/>
      <c r="N66" s="468"/>
      <c r="O66" s="468"/>
      <c r="P66" s="468"/>
      <c r="Q66" s="468"/>
      <c r="R66" s="468"/>
      <c r="S66" s="469"/>
      <c r="T66" s="492"/>
      <c r="U66" s="492"/>
    </row>
    <row r="67" spans="1:21" ht="105" x14ac:dyDescent="0.25">
      <c r="A67" s="441">
        <v>49</v>
      </c>
      <c r="B67" s="288">
        <v>1</v>
      </c>
      <c r="C67" s="308" t="s">
        <v>153</v>
      </c>
      <c r="D67" s="326" t="s">
        <v>556</v>
      </c>
      <c r="E67" s="310" t="s">
        <v>108</v>
      </c>
      <c r="F67" s="320" t="s">
        <v>379</v>
      </c>
      <c r="G67" s="334">
        <v>50</v>
      </c>
      <c r="H67" s="334"/>
      <c r="I67" s="312">
        <v>1000</v>
      </c>
      <c r="J67" s="312"/>
      <c r="K67" s="312">
        <v>1000</v>
      </c>
      <c r="L67" s="313"/>
      <c r="M67" s="314" t="s">
        <v>241</v>
      </c>
      <c r="N67" s="314" t="s">
        <v>241</v>
      </c>
      <c r="O67" s="312">
        <v>1500</v>
      </c>
      <c r="P67" s="310" t="s">
        <v>180</v>
      </c>
      <c r="Q67" s="316" t="s">
        <v>357</v>
      </c>
      <c r="R67" s="377" t="s">
        <v>176</v>
      </c>
      <c r="S67" s="310" t="s">
        <v>221</v>
      </c>
      <c r="T67" s="488"/>
      <c r="U67" s="488"/>
    </row>
    <row r="68" spans="1:21" ht="90" x14ac:dyDescent="0.25">
      <c r="A68" s="441">
        <v>50</v>
      </c>
      <c r="B68" s="288">
        <v>1</v>
      </c>
      <c r="C68" s="323" t="s">
        <v>153</v>
      </c>
      <c r="D68" s="290" t="s">
        <v>577</v>
      </c>
      <c r="E68" s="291" t="s">
        <v>405</v>
      </c>
      <c r="F68" s="291" t="s">
        <v>299</v>
      </c>
      <c r="G68" s="292">
        <v>10</v>
      </c>
      <c r="H68" s="292" t="s">
        <v>388</v>
      </c>
      <c r="I68" s="293"/>
      <c r="J68" s="293">
        <v>217</v>
      </c>
      <c r="K68" s="293">
        <v>217</v>
      </c>
      <c r="L68" s="294"/>
      <c r="M68" s="329" t="s">
        <v>99</v>
      </c>
      <c r="N68" s="329" t="s">
        <v>99</v>
      </c>
      <c r="O68" s="456" t="s">
        <v>572</v>
      </c>
      <c r="P68" s="291" t="s">
        <v>360</v>
      </c>
      <c r="Q68" s="446" t="s">
        <v>361</v>
      </c>
      <c r="R68" s="378" t="s">
        <v>362</v>
      </c>
      <c r="S68" s="324" t="s">
        <v>359</v>
      </c>
      <c r="T68" s="488"/>
      <c r="U68" s="488"/>
    </row>
    <row r="69" spans="1:21" ht="75" x14ac:dyDescent="0.25">
      <c r="A69" s="441">
        <v>51</v>
      </c>
      <c r="B69" s="288">
        <v>1</v>
      </c>
      <c r="C69" s="323" t="s">
        <v>153</v>
      </c>
      <c r="D69" s="290" t="s">
        <v>578</v>
      </c>
      <c r="E69" s="291" t="s">
        <v>406</v>
      </c>
      <c r="F69" s="291" t="s">
        <v>299</v>
      </c>
      <c r="G69" s="292"/>
      <c r="H69" s="292" t="s">
        <v>388</v>
      </c>
      <c r="I69" s="293"/>
      <c r="J69" s="293"/>
      <c r="K69" s="293">
        <v>527.23699999999997</v>
      </c>
      <c r="L69" s="294"/>
      <c r="M69" s="329" t="s">
        <v>99</v>
      </c>
      <c r="N69" s="329"/>
      <c r="O69" s="456" t="s">
        <v>573</v>
      </c>
      <c r="P69" s="291" t="s">
        <v>420</v>
      </c>
      <c r="Q69" s="458" t="s">
        <v>575</v>
      </c>
      <c r="R69" s="378" t="s">
        <v>421</v>
      </c>
      <c r="S69" s="324"/>
      <c r="T69" s="488"/>
      <c r="U69" s="488"/>
    </row>
    <row r="70" spans="1:21" ht="75" x14ac:dyDescent="0.25">
      <c r="A70" s="441">
        <v>52</v>
      </c>
      <c r="B70" s="288">
        <v>1</v>
      </c>
      <c r="C70" s="318" t="s">
        <v>153</v>
      </c>
      <c r="D70" s="319" t="s">
        <v>307</v>
      </c>
      <c r="E70" s="310" t="s">
        <v>320</v>
      </c>
      <c r="F70" s="320" t="s">
        <v>379</v>
      </c>
      <c r="G70" s="318">
        <v>60</v>
      </c>
      <c r="H70" s="318"/>
      <c r="I70" s="321">
        <v>18200</v>
      </c>
      <c r="J70" s="321"/>
      <c r="K70" s="321">
        <v>18200</v>
      </c>
      <c r="L70" s="321"/>
      <c r="M70" s="321" t="s">
        <v>100</v>
      </c>
      <c r="N70" s="321"/>
      <c r="O70" s="321">
        <v>100</v>
      </c>
      <c r="P70" s="354" t="s">
        <v>321</v>
      </c>
      <c r="Q70" s="322" t="s">
        <v>322</v>
      </c>
      <c r="R70" s="310"/>
      <c r="S70" s="310"/>
      <c r="T70" s="488"/>
      <c r="U70" s="488"/>
    </row>
    <row r="71" spans="1:21" ht="90" x14ac:dyDescent="0.25">
      <c r="A71" s="441">
        <v>53</v>
      </c>
      <c r="B71" s="288">
        <v>1</v>
      </c>
      <c r="C71" s="318" t="s">
        <v>153</v>
      </c>
      <c r="D71" s="319" t="s">
        <v>308</v>
      </c>
      <c r="E71" s="310" t="s">
        <v>323</v>
      </c>
      <c r="F71" s="320" t="s">
        <v>379</v>
      </c>
      <c r="G71" s="318">
        <v>70</v>
      </c>
      <c r="H71" s="318"/>
      <c r="I71" s="321">
        <v>3600</v>
      </c>
      <c r="J71" s="321"/>
      <c r="K71" s="321">
        <v>3600</v>
      </c>
      <c r="L71" s="321"/>
      <c r="M71" s="321" t="s">
        <v>98</v>
      </c>
      <c r="N71" s="321"/>
      <c r="O71" s="321">
        <v>100</v>
      </c>
      <c r="P71" s="354" t="s">
        <v>327</v>
      </c>
      <c r="Q71" s="368" t="s">
        <v>328</v>
      </c>
      <c r="R71" s="310" t="s">
        <v>326</v>
      </c>
      <c r="S71" s="310" t="s">
        <v>305</v>
      </c>
      <c r="T71" s="488"/>
      <c r="U71" s="488"/>
    </row>
    <row r="72" spans="1:21" ht="75" x14ac:dyDescent="0.25">
      <c r="A72" s="441">
        <v>54</v>
      </c>
      <c r="B72" s="288">
        <v>1</v>
      </c>
      <c r="C72" s="318" t="s">
        <v>153</v>
      </c>
      <c r="D72" s="319" t="s">
        <v>309</v>
      </c>
      <c r="E72" s="310" t="s">
        <v>335</v>
      </c>
      <c r="F72" s="320" t="s">
        <v>379</v>
      </c>
      <c r="G72" s="318">
        <v>35</v>
      </c>
      <c r="H72" s="318"/>
      <c r="I72" s="321">
        <v>8500</v>
      </c>
      <c r="J72" s="321"/>
      <c r="K72" s="321">
        <v>8500</v>
      </c>
      <c r="L72" s="321"/>
      <c r="M72" s="321" t="s">
        <v>104</v>
      </c>
      <c r="N72" s="321"/>
      <c r="O72" s="321">
        <v>5000</v>
      </c>
      <c r="P72" s="354" t="s">
        <v>336</v>
      </c>
      <c r="Q72" s="368" t="s">
        <v>328</v>
      </c>
      <c r="R72" s="310" t="s">
        <v>326</v>
      </c>
      <c r="S72" s="310" t="s">
        <v>305</v>
      </c>
      <c r="T72" s="488"/>
      <c r="U72" s="488"/>
    </row>
    <row r="73" spans="1:21" ht="39.75" customHeight="1" x14ac:dyDescent="0.25">
      <c r="A73" s="441">
        <v>55</v>
      </c>
      <c r="B73" s="288">
        <v>1</v>
      </c>
      <c r="C73" s="379" t="s">
        <v>153</v>
      </c>
      <c r="D73" s="290" t="s">
        <v>376</v>
      </c>
      <c r="E73" s="291"/>
      <c r="F73" s="291" t="s">
        <v>299</v>
      </c>
      <c r="G73" s="379">
        <v>180</v>
      </c>
      <c r="H73" s="379"/>
      <c r="I73" s="380">
        <v>7500</v>
      </c>
      <c r="J73" s="380"/>
      <c r="K73" s="380">
        <v>7500</v>
      </c>
      <c r="L73" s="380"/>
      <c r="M73" s="380"/>
      <c r="N73" s="380"/>
      <c r="O73" s="380"/>
      <c r="P73" s="381"/>
      <c r="Q73" s="382"/>
      <c r="R73" s="291"/>
      <c r="S73" s="291"/>
      <c r="T73" s="488"/>
      <c r="U73" s="488"/>
    </row>
    <row r="74" spans="1:21" ht="120" x14ac:dyDescent="0.25">
      <c r="A74" s="441">
        <v>56</v>
      </c>
      <c r="B74" s="288">
        <v>1</v>
      </c>
      <c r="C74" s="318" t="s">
        <v>153</v>
      </c>
      <c r="D74" s="383" t="s">
        <v>377</v>
      </c>
      <c r="E74" s="310" t="s">
        <v>380</v>
      </c>
      <c r="F74" s="310" t="s">
        <v>379</v>
      </c>
      <c r="G74" s="318">
        <v>140</v>
      </c>
      <c r="H74" s="318"/>
      <c r="I74" s="321">
        <v>24477</v>
      </c>
      <c r="J74" s="321"/>
      <c r="K74" s="321">
        <v>24477</v>
      </c>
      <c r="L74" s="321"/>
      <c r="M74" s="321" t="s">
        <v>98</v>
      </c>
      <c r="N74" s="321"/>
      <c r="O74" s="321">
        <v>542</v>
      </c>
      <c r="P74" s="354"/>
      <c r="Q74" s="368" t="s">
        <v>440</v>
      </c>
      <c r="R74" s="310"/>
      <c r="S74" s="310"/>
      <c r="T74" s="488"/>
      <c r="U74" s="488"/>
    </row>
    <row r="75" spans="1:21" ht="33" customHeight="1" x14ac:dyDescent="0.25">
      <c r="A75" s="441"/>
      <c r="B75" s="288"/>
      <c r="C75" s="467" t="s">
        <v>154</v>
      </c>
      <c r="D75" s="468"/>
      <c r="E75" s="468"/>
      <c r="F75" s="468"/>
      <c r="G75" s="468"/>
      <c r="H75" s="468"/>
      <c r="I75" s="468"/>
      <c r="J75" s="468"/>
      <c r="K75" s="468"/>
      <c r="L75" s="468"/>
      <c r="M75" s="468"/>
      <c r="N75" s="468"/>
      <c r="O75" s="468"/>
      <c r="P75" s="468"/>
      <c r="Q75" s="468"/>
      <c r="R75" s="468"/>
      <c r="S75" s="469"/>
      <c r="T75" s="492"/>
      <c r="U75" s="492"/>
    </row>
    <row r="76" spans="1:21" ht="135" x14ac:dyDescent="0.25">
      <c r="A76" s="441">
        <v>57</v>
      </c>
      <c r="B76" s="288">
        <v>1</v>
      </c>
      <c r="C76" s="289" t="s">
        <v>154</v>
      </c>
      <c r="D76" s="290" t="s">
        <v>557</v>
      </c>
      <c r="E76" s="291" t="s">
        <v>193</v>
      </c>
      <c r="F76" s="291" t="s">
        <v>299</v>
      </c>
      <c r="G76" s="328">
        <v>500</v>
      </c>
      <c r="H76" s="328"/>
      <c r="I76" s="293">
        <v>9800</v>
      </c>
      <c r="J76" s="293"/>
      <c r="K76" s="293">
        <v>9800</v>
      </c>
      <c r="L76" s="294">
        <v>300</v>
      </c>
      <c r="M76" s="329" t="s">
        <v>128</v>
      </c>
      <c r="N76" s="329"/>
      <c r="O76" s="293">
        <v>27</v>
      </c>
      <c r="P76" s="353" t="s">
        <v>168</v>
      </c>
      <c r="Q76" s="296" t="s">
        <v>196</v>
      </c>
      <c r="R76" s="353" t="s">
        <v>203</v>
      </c>
      <c r="S76" s="353" t="s">
        <v>231</v>
      </c>
      <c r="T76" s="488"/>
      <c r="U76" s="488"/>
    </row>
    <row r="77" spans="1:21" ht="225" x14ac:dyDescent="0.25">
      <c r="A77" s="441">
        <v>58</v>
      </c>
      <c r="B77" s="288">
        <v>1</v>
      </c>
      <c r="C77" s="298" t="s">
        <v>154</v>
      </c>
      <c r="D77" s="299" t="s">
        <v>558</v>
      </c>
      <c r="E77" s="300" t="s">
        <v>183</v>
      </c>
      <c r="F77" s="300" t="s">
        <v>471</v>
      </c>
      <c r="G77" s="301">
        <v>400</v>
      </c>
      <c r="H77" s="301"/>
      <c r="I77" s="302">
        <v>121580</v>
      </c>
      <c r="J77" s="302"/>
      <c r="K77" s="302">
        <v>121580</v>
      </c>
      <c r="L77" s="303"/>
      <c r="M77" s="304" t="s">
        <v>101</v>
      </c>
      <c r="N77" s="304"/>
      <c r="O77" s="302">
        <v>1340</v>
      </c>
      <c r="P77" s="305" t="s">
        <v>157</v>
      </c>
      <c r="Q77" s="333" t="s">
        <v>251</v>
      </c>
      <c r="R77" s="305" t="s">
        <v>174</v>
      </c>
      <c r="S77" s="300" t="s">
        <v>228</v>
      </c>
      <c r="T77" s="488"/>
      <c r="U77" s="488"/>
    </row>
    <row r="78" spans="1:21" ht="180" x14ac:dyDescent="0.25">
      <c r="A78" s="441">
        <v>59</v>
      </c>
      <c r="B78" s="288">
        <v>1</v>
      </c>
      <c r="C78" s="384" t="s">
        <v>154</v>
      </c>
      <c r="D78" s="309" t="s">
        <v>70</v>
      </c>
      <c r="E78" s="310" t="s">
        <v>71</v>
      </c>
      <c r="F78" s="310" t="s">
        <v>379</v>
      </c>
      <c r="G78" s="311">
        <v>460</v>
      </c>
      <c r="H78" s="311"/>
      <c r="I78" s="312">
        <v>35291</v>
      </c>
      <c r="J78" s="312"/>
      <c r="K78" s="312">
        <v>35291</v>
      </c>
      <c r="L78" s="313">
        <v>28233</v>
      </c>
      <c r="M78" s="314" t="s">
        <v>104</v>
      </c>
      <c r="N78" s="314"/>
      <c r="O78" s="312">
        <v>31.8</v>
      </c>
      <c r="P78" s="315" t="s">
        <v>166</v>
      </c>
      <c r="Q78" s="316" t="s">
        <v>225</v>
      </c>
      <c r="R78" s="388" t="s">
        <v>181</v>
      </c>
      <c r="S78" s="385" t="s">
        <v>227</v>
      </c>
      <c r="T78" s="488"/>
      <c r="U78" s="488"/>
    </row>
    <row r="79" spans="1:21" ht="90" x14ac:dyDescent="0.25">
      <c r="A79" s="441">
        <v>60</v>
      </c>
      <c r="B79" s="288">
        <v>1</v>
      </c>
      <c r="C79" s="308" t="s">
        <v>154</v>
      </c>
      <c r="D79" s="309" t="s">
        <v>559</v>
      </c>
      <c r="E79" s="310" t="s">
        <v>84</v>
      </c>
      <c r="F79" s="320" t="s">
        <v>379</v>
      </c>
      <c r="G79" s="311">
        <v>158</v>
      </c>
      <c r="H79" s="311"/>
      <c r="I79" s="312">
        <v>2110</v>
      </c>
      <c r="J79" s="312"/>
      <c r="K79" s="312">
        <v>2110</v>
      </c>
      <c r="L79" s="313"/>
      <c r="M79" s="314" t="s">
        <v>100</v>
      </c>
      <c r="N79" s="314"/>
      <c r="O79" s="312">
        <v>20</v>
      </c>
      <c r="P79" s="315" t="s">
        <v>167</v>
      </c>
      <c r="Q79" s="316" t="s">
        <v>248</v>
      </c>
      <c r="R79" s="315" t="s">
        <v>175</v>
      </c>
      <c r="S79" s="310" t="s">
        <v>226</v>
      </c>
      <c r="T79" s="488"/>
      <c r="U79" s="488"/>
    </row>
    <row r="80" spans="1:21" ht="45" x14ac:dyDescent="0.25">
      <c r="A80" s="441">
        <v>61</v>
      </c>
      <c r="B80" s="288">
        <v>1</v>
      </c>
      <c r="C80" s="390" t="s">
        <v>317</v>
      </c>
      <c r="D80" s="391" t="s">
        <v>306</v>
      </c>
      <c r="E80" s="392" t="s">
        <v>319</v>
      </c>
      <c r="F80" s="300" t="s">
        <v>471</v>
      </c>
      <c r="G80" s="301">
        <v>100</v>
      </c>
      <c r="H80" s="393"/>
      <c r="I80" s="394">
        <v>29900</v>
      </c>
      <c r="J80" s="394"/>
      <c r="K80" s="394">
        <v>29900</v>
      </c>
      <c r="L80" s="395"/>
      <c r="M80" s="394" t="s">
        <v>104</v>
      </c>
      <c r="N80" s="395"/>
      <c r="O80" s="395">
        <v>44.6</v>
      </c>
      <c r="P80" s="305" t="s">
        <v>318</v>
      </c>
      <c r="Q80" s="396" t="s">
        <v>324</v>
      </c>
      <c r="R80" s="396"/>
      <c r="S80" s="396" t="s">
        <v>305</v>
      </c>
      <c r="T80" s="488"/>
      <c r="U80" s="488"/>
    </row>
    <row r="81" spans="1:21" ht="67.5" customHeight="1" x14ac:dyDescent="0.25">
      <c r="A81" s="441">
        <v>62</v>
      </c>
      <c r="B81" s="288">
        <v>1</v>
      </c>
      <c r="C81" s="308" t="s">
        <v>154</v>
      </c>
      <c r="D81" s="397" t="s">
        <v>467</v>
      </c>
      <c r="E81" s="398" t="s">
        <v>468</v>
      </c>
      <c r="F81" s="310" t="s">
        <v>379</v>
      </c>
      <c r="G81" s="308">
        <v>19</v>
      </c>
      <c r="H81" s="308"/>
      <c r="I81" s="358">
        <v>1200</v>
      </c>
      <c r="J81" s="358"/>
      <c r="K81" s="358">
        <v>1200</v>
      </c>
      <c r="L81" s="358"/>
      <c r="M81" s="358"/>
      <c r="N81" s="358"/>
      <c r="O81" s="358">
        <v>900</v>
      </c>
      <c r="P81" s="398" t="s">
        <v>470</v>
      </c>
      <c r="Q81" s="356"/>
      <c r="R81" s="310" t="s">
        <v>469</v>
      </c>
      <c r="S81" s="356"/>
      <c r="T81" s="488"/>
      <c r="U81" s="488"/>
    </row>
    <row r="82" spans="1:21" ht="52.5" customHeight="1" x14ac:dyDescent="0.25">
      <c r="A82" s="441">
        <v>63</v>
      </c>
      <c r="B82" s="350">
        <v>1</v>
      </c>
      <c r="C82" s="289" t="s">
        <v>154</v>
      </c>
      <c r="D82" s="459" t="s">
        <v>382</v>
      </c>
      <c r="E82" s="352"/>
      <c r="F82" s="291" t="s">
        <v>299</v>
      </c>
      <c r="G82" s="289">
        <v>350</v>
      </c>
      <c r="H82" s="289"/>
      <c r="I82" s="399">
        <v>12000</v>
      </c>
      <c r="J82" s="399"/>
      <c r="K82" s="399">
        <v>12000</v>
      </c>
      <c r="L82" s="399"/>
      <c r="M82" s="352"/>
      <c r="N82" s="352"/>
      <c r="O82" s="352"/>
      <c r="P82" s="352"/>
      <c r="Q82" s="352"/>
      <c r="R82" s="352"/>
      <c r="S82" s="352"/>
      <c r="T82" s="488"/>
      <c r="U82" s="488"/>
    </row>
    <row r="83" spans="1:21" ht="67.5" customHeight="1" x14ac:dyDescent="0.25">
      <c r="A83" s="441">
        <v>64</v>
      </c>
      <c r="B83" s="288">
        <v>1</v>
      </c>
      <c r="C83" s="308" t="s">
        <v>154</v>
      </c>
      <c r="D83" s="309" t="s">
        <v>301</v>
      </c>
      <c r="E83" s="310" t="s">
        <v>302</v>
      </c>
      <c r="F83" s="320" t="s">
        <v>379</v>
      </c>
      <c r="G83" s="311">
        <v>100</v>
      </c>
      <c r="H83" s="311"/>
      <c r="I83" s="312">
        <v>2400</v>
      </c>
      <c r="J83" s="312"/>
      <c r="K83" s="312">
        <v>2400</v>
      </c>
      <c r="L83" s="313"/>
      <c r="M83" s="321" t="s">
        <v>98</v>
      </c>
      <c r="N83" s="314"/>
      <c r="O83" s="312">
        <v>109</v>
      </c>
      <c r="P83" s="315" t="s">
        <v>303</v>
      </c>
      <c r="Q83" s="316" t="s">
        <v>304</v>
      </c>
      <c r="R83" s="315"/>
      <c r="S83" s="310" t="s">
        <v>305</v>
      </c>
      <c r="T83" s="488"/>
      <c r="U83" s="488"/>
    </row>
    <row r="84" spans="1:21" ht="15.75" x14ac:dyDescent="0.25">
      <c r="A84" s="441"/>
      <c r="B84" s="288"/>
      <c r="C84" s="467" t="s">
        <v>155</v>
      </c>
      <c r="D84" s="468"/>
      <c r="E84" s="468"/>
      <c r="F84" s="468"/>
      <c r="G84" s="468"/>
      <c r="H84" s="468"/>
      <c r="I84" s="468"/>
      <c r="J84" s="468"/>
      <c r="K84" s="468"/>
      <c r="L84" s="468"/>
      <c r="M84" s="468"/>
      <c r="N84" s="468"/>
      <c r="O84" s="468"/>
      <c r="P84" s="468"/>
      <c r="Q84" s="468"/>
      <c r="R84" s="468"/>
      <c r="S84" s="469"/>
      <c r="T84" s="492"/>
      <c r="U84" s="492"/>
    </row>
    <row r="85" spans="1:21" ht="105" x14ac:dyDescent="0.25">
      <c r="A85" s="441">
        <v>65</v>
      </c>
      <c r="B85" s="288">
        <v>1</v>
      </c>
      <c r="C85" s="308" t="s">
        <v>155</v>
      </c>
      <c r="D85" s="319" t="s">
        <v>290</v>
      </c>
      <c r="E85" s="310" t="s">
        <v>158</v>
      </c>
      <c r="F85" s="320" t="s">
        <v>379</v>
      </c>
      <c r="G85" s="400">
        <v>100</v>
      </c>
      <c r="H85" s="400"/>
      <c r="I85" s="314">
        <v>18700</v>
      </c>
      <c r="J85" s="314"/>
      <c r="K85" s="314">
        <v>18700</v>
      </c>
      <c r="L85" s="401">
        <v>15000</v>
      </c>
      <c r="M85" s="314" t="s">
        <v>98</v>
      </c>
      <c r="N85" s="314"/>
      <c r="O85" s="314">
        <v>1300</v>
      </c>
      <c r="P85" s="310" t="s">
        <v>160</v>
      </c>
      <c r="Q85" s="316" t="s">
        <v>194</v>
      </c>
      <c r="R85" s="402" t="s">
        <v>172</v>
      </c>
      <c r="S85" s="310" t="s">
        <v>219</v>
      </c>
      <c r="T85" s="488"/>
      <c r="U85" s="488"/>
    </row>
    <row r="86" spans="1:21" ht="210" x14ac:dyDescent="0.25">
      <c r="A86" s="441">
        <v>66</v>
      </c>
      <c r="B86" s="288">
        <v>1</v>
      </c>
      <c r="C86" s="384" t="s">
        <v>155</v>
      </c>
      <c r="D86" s="403" t="s">
        <v>291</v>
      </c>
      <c r="E86" s="385" t="s">
        <v>21</v>
      </c>
      <c r="F86" s="414" t="s">
        <v>598</v>
      </c>
      <c r="G86" s="404">
        <v>450</v>
      </c>
      <c r="H86" s="404"/>
      <c r="I86" s="387">
        <v>12386.2</v>
      </c>
      <c r="J86" s="387"/>
      <c r="K86" s="387">
        <v>12386.2</v>
      </c>
      <c r="L86" s="405"/>
      <c r="M86" s="387" t="s">
        <v>104</v>
      </c>
      <c r="N86" s="387" t="s">
        <v>100</v>
      </c>
      <c r="O86" s="386">
        <v>24</v>
      </c>
      <c r="P86" s="388" t="s">
        <v>164</v>
      </c>
      <c r="Q86" s="389" t="s">
        <v>252</v>
      </c>
      <c r="R86" s="388" t="s">
        <v>177</v>
      </c>
      <c r="S86" s="385" t="s">
        <v>220</v>
      </c>
      <c r="T86" s="488"/>
      <c r="U86" s="488"/>
    </row>
    <row r="87" spans="1:21" ht="43.5" customHeight="1" x14ac:dyDescent="0.25">
      <c r="A87" s="441">
        <v>67</v>
      </c>
      <c r="B87" s="350">
        <v>1</v>
      </c>
      <c r="C87" s="289" t="s">
        <v>155</v>
      </c>
      <c r="D87" s="351" t="s">
        <v>383</v>
      </c>
      <c r="E87" s="352"/>
      <c r="F87" s="291" t="s">
        <v>299</v>
      </c>
      <c r="G87" s="289">
        <v>247</v>
      </c>
      <c r="H87" s="289"/>
      <c r="I87" s="399">
        <v>42800</v>
      </c>
      <c r="J87" s="399"/>
      <c r="K87" s="399">
        <v>42800</v>
      </c>
      <c r="L87" s="399"/>
      <c r="M87" s="352"/>
      <c r="N87" s="352"/>
      <c r="O87" s="352"/>
      <c r="P87" s="352"/>
      <c r="Q87" s="352"/>
      <c r="R87" s="352"/>
      <c r="S87" s="352"/>
      <c r="T87" s="488"/>
      <c r="U87" s="488"/>
    </row>
    <row r="88" spans="1:21" ht="97.15" customHeight="1" x14ac:dyDescent="0.25">
      <c r="A88" s="441">
        <v>68</v>
      </c>
      <c r="B88" s="288">
        <v>1</v>
      </c>
      <c r="C88" s="308" t="s">
        <v>155</v>
      </c>
      <c r="D88" s="319" t="s">
        <v>96</v>
      </c>
      <c r="E88" s="310" t="s">
        <v>24</v>
      </c>
      <c r="F88" s="320" t="s">
        <v>379</v>
      </c>
      <c r="G88" s="406">
        <v>300</v>
      </c>
      <c r="H88" s="406"/>
      <c r="I88" s="314">
        <v>81000</v>
      </c>
      <c r="J88" s="314"/>
      <c r="K88" s="312">
        <f>I88</f>
        <v>81000</v>
      </c>
      <c r="L88" s="401">
        <v>71000</v>
      </c>
      <c r="M88" s="314" t="s">
        <v>99</v>
      </c>
      <c r="N88" s="314" t="s">
        <v>99</v>
      </c>
      <c r="O88" s="312">
        <v>26.47</v>
      </c>
      <c r="P88" s="407" t="s">
        <v>165</v>
      </c>
      <c r="Q88" s="310" t="s">
        <v>19</v>
      </c>
      <c r="R88" s="407" t="s">
        <v>173</v>
      </c>
      <c r="S88" s="310" t="s">
        <v>218</v>
      </c>
      <c r="T88" s="488"/>
      <c r="U88" s="488"/>
    </row>
    <row r="89" spans="1:21" ht="26.45" customHeight="1" x14ac:dyDescent="0.25">
      <c r="A89" s="441"/>
      <c r="B89" s="288"/>
      <c r="C89" s="467" t="s">
        <v>258</v>
      </c>
      <c r="D89" s="468"/>
      <c r="E89" s="468"/>
      <c r="F89" s="468"/>
      <c r="G89" s="468"/>
      <c r="H89" s="468"/>
      <c r="I89" s="468"/>
      <c r="J89" s="468"/>
      <c r="K89" s="468"/>
      <c r="L89" s="468"/>
      <c r="M89" s="468"/>
      <c r="N89" s="468"/>
      <c r="O89" s="468"/>
      <c r="P89" s="468"/>
      <c r="Q89" s="468"/>
      <c r="R89" s="468"/>
      <c r="S89" s="469"/>
      <c r="T89" s="492"/>
      <c r="U89" s="492"/>
    </row>
    <row r="90" spans="1:21" ht="69.599999999999994" customHeight="1" x14ac:dyDescent="0.25">
      <c r="A90" s="441">
        <v>69</v>
      </c>
      <c r="B90" s="288">
        <v>1</v>
      </c>
      <c r="C90" s="323" t="s">
        <v>258</v>
      </c>
      <c r="D90" s="290" t="s">
        <v>593</v>
      </c>
      <c r="E90" s="291" t="s">
        <v>407</v>
      </c>
      <c r="F90" s="291" t="s">
        <v>299</v>
      </c>
      <c r="G90" s="328">
        <v>10</v>
      </c>
      <c r="H90" s="292" t="s">
        <v>388</v>
      </c>
      <c r="I90" s="293"/>
      <c r="J90" s="293"/>
      <c r="K90" s="293">
        <v>407</v>
      </c>
      <c r="L90" s="294"/>
      <c r="M90" s="329" t="s">
        <v>129</v>
      </c>
      <c r="N90" s="329"/>
      <c r="O90" s="456" t="s">
        <v>574</v>
      </c>
      <c r="P90" s="291" t="s">
        <v>349</v>
      </c>
      <c r="Q90" s="444" t="s">
        <v>576</v>
      </c>
      <c r="R90" s="361"/>
      <c r="S90" s="324" t="s">
        <v>305</v>
      </c>
      <c r="T90" s="488"/>
      <c r="U90" s="488"/>
    </row>
    <row r="91" spans="1:21" ht="60" x14ac:dyDescent="0.25">
      <c r="A91" s="441">
        <v>70</v>
      </c>
      <c r="B91" s="288">
        <v>1</v>
      </c>
      <c r="C91" s="318" t="s">
        <v>258</v>
      </c>
      <c r="D91" s="319" t="s">
        <v>315</v>
      </c>
      <c r="E91" s="354" t="s">
        <v>329</v>
      </c>
      <c r="F91" s="320" t="s">
        <v>379</v>
      </c>
      <c r="G91" s="318">
        <v>30</v>
      </c>
      <c r="H91" s="318"/>
      <c r="I91" s="321">
        <v>700</v>
      </c>
      <c r="J91" s="321"/>
      <c r="K91" s="321">
        <v>700</v>
      </c>
      <c r="L91" s="321"/>
      <c r="M91" s="321" t="s">
        <v>104</v>
      </c>
      <c r="N91" s="321"/>
      <c r="O91" s="321">
        <v>13</v>
      </c>
      <c r="P91" s="354" t="s">
        <v>347</v>
      </c>
      <c r="Q91" s="354" t="s">
        <v>348</v>
      </c>
      <c r="R91" s="310" t="s">
        <v>355</v>
      </c>
      <c r="S91" s="310" t="s">
        <v>356</v>
      </c>
      <c r="T91" s="488"/>
      <c r="U91" s="488"/>
    </row>
    <row r="92" spans="1:21" ht="24.6" customHeight="1" x14ac:dyDescent="0.25">
      <c r="A92" s="441"/>
      <c r="B92" s="288"/>
      <c r="C92" s="467" t="s">
        <v>283</v>
      </c>
      <c r="D92" s="468"/>
      <c r="E92" s="468"/>
      <c r="F92" s="468"/>
      <c r="G92" s="468"/>
      <c r="H92" s="468"/>
      <c r="I92" s="468"/>
      <c r="J92" s="468"/>
      <c r="K92" s="468"/>
      <c r="L92" s="468"/>
      <c r="M92" s="468"/>
      <c r="N92" s="468"/>
      <c r="O92" s="468"/>
      <c r="P92" s="468"/>
      <c r="Q92" s="468"/>
      <c r="R92" s="468"/>
      <c r="S92" s="469"/>
      <c r="T92" s="492"/>
      <c r="U92" s="492"/>
    </row>
    <row r="93" spans="1:21" ht="60" x14ac:dyDescent="0.25">
      <c r="A93" s="441">
        <v>71</v>
      </c>
      <c r="B93" s="288">
        <v>1</v>
      </c>
      <c r="C93" s="323" t="s">
        <v>283</v>
      </c>
      <c r="D93" s="409" t="s">
        <v>594</v>
      </c>
      <c r="E93" s="291" t="s">
        <v>410</v>
      </c>
      <c r="F93" s="291" t="s">
        <v>299</v>
      </c>
      <c r="G93" s="289">
        <v>50</v>
      </c>
      <c r="H93" s="289" t="s">
        <v>389</v>
      </c>
      <c r="I93" s="399">
        <v>492</v>
      </c>
      <c r="J93" s="399"/>
      <c r="K93" s="399">
        <v>492</v>
      </c>
      <c r="L93" s="399">
        <v>492</v>
      </c>
      <c r="M93" s="399" t="s">
        <v>129</v>
      </c>
      <c r="N93" s="399"/>
      <c r="O93" s="399">
        <v>745</v>
      </c>
      <c r="P93" s="291" t="s">
        <v>436</v>
      </c>
      <c r="Q93" s="447" t="s">
        <v>435</v>
      </c>
      <c r="R93" s="408" t="s">
        <v>353</v>
      </c>
      <c r="S93" s="324" t="s">
        <v>356</v>
      </c>
      <c r="T93" s="488"/>
      <c r="U93" s="488"/>
    </row>
    <row r="94" spans="1:21" ht="60" x14ac:dyDescent="0.25">
      <c r="A94" s="441">
        <v>72</v>
      </c>
      <c r="B94" s="288">
        <v>1</v>
      </c>
      <c r="C94" s="289" t="s">
        <v>283</v>
      </c>
      <c r="D94" s="409" t="s">
        <v>295</v>
      </c>
      <c r="E94" s="291" t="s">
        <v>296</v>
      </c>
      <c r="F94" s="291" t="s">
        <v>299</v>
      </c>
      <c r="G94" s="289">
        <v>50</v>
      </c>
      <c r="H94" s="289"/>
      <c r="I94" s="399">
        <v>2700</v>
      </c>
      <c r="J94" s="399"/>
      <c r="K94" s="399">
        <v>2700</v>
      </c>
      <c r="L94" s="399"/>
      <c r="M94" s="399" t="s">
        <v>129</v>
      </c>
      <c r="N94" s="399" t="s">
        <v>129</v>
      </c>
      <c r="O94" s="399">
        <v>380</v>
      </c>
      <c r="P94" s="291" t="s">
        <v>350</v>
      </c>
      <c r="Q94" s="330" t="s">
        <v>352</v>
      </c>
      <c r="R94" s="291" t="s">
        <v>354</v>
      </c>
      <c r="S94" s="410" t="s">
        <v>356</v>
      </c>
      <c r="T94" s="488"/>
      <c r="U94" s="488"/>
    </row>
    <row r="95" spans="1:21" ht="98.25" customHeight="1" x14ac:dyDescent="0.25">
      <c r="A95" s="441">
        <v>73</v>
      </c>
      <c r="B95" s="288">
        <v>1</v>
      </c>
      <c r="C95" s="411" t="s">
        <v>283</v>
      </c>
      <c r="D95" s="319" t="s">
        <v>448</v>
      </c>
      <c r="E95" s="310" t="s">
        <v>449</v>
      </c>
      <c r="F95" s="310" t="s">
        <v>379</v>
      </c>
      <c r="G95" s="318">
        <v>200</v>
      </c>
      <c r="H95" s="310" t="s">
        <v>450</v>
      </c>
      <c r="I95" s="310"/>
      <c r="J95" s="310"/>
      <c r="K95" s="358">
        <v>1500</v>
      </c>
      <c r="L95" s="310"/>
      <c r="M95" s="310" t="s">
        <v>451</v>
      </c>
      <c r="N95" s="310"/>
      <c r="O95" s="310"/>
      <c r="P95" s="362" t="s">
        <v>463</v>
      </c>
      <c r="Q95" s="316" t="s">
        <v>452</v>
      </c>
      <c r="R95" s="412"/>
      <c r="S95" s="412"/>
      <c r="T95" s="488"/>
      <c r="U95" s="488"/>
    </row>
    <row r="96" spans="1:21" ht="46.5" customHeight="1" x14ac:dyDescent="0.25">
      <c r="A96" s="441">
        <v>74</v>
      </c>
      <c r="B96" s="288">
        <v>1</v>
      </c>
      <c r="C96" s="384"/>
      <c r="D96" s="413" t="s">
        <v>7</v>
      </c>
      <c r="E96" s="414"/>
      <c r="F96" s="414" t="s">
        <v>598</v>
      </c>
      <c r="G96" s="384"/>
      <c r="H96" s="414"/>
      <c r="I96" s="415"/>
      <c r="J96" s="415"/>
      <c r="K96" s="415"/>
      <c r="L96" s="415"/>
      <c r="M96" s="415"/>
      <c r="N96" s="415"/>
      <c r="O96" s="415"/>
      <c r="P96" s="414"/>
      <c r="Q96" s="455"/>
      <c r="R96" s="414"/>
      <c r="S96" s="414"/>
      <c r="T96" s="488"/>
      <c r="U96" s="488"/>
    </row>
    <row r="97" spans="1:26" ht="40.15" customHeight="1" x14ac:dyDescent="0.25">
      <c r="A97" s="441">
        <v>75</v>
      </c>
      <c r="B97" s="288">
        <v>1</v>
      </c>
      <c r="C97" s="384"/>
      <c r="D97" s="413" t="s">
        <v>92</v>
      </c>
      <c r="E97" s="414"/>
      <c r="F97" s="414" t="s">
        <v>598</v>
      </c>
      <c r="G97" s="384"/>
      <c r="H97" s="414"/>
      <c r="I97" s="415"/>
      <c r="J97" s="415"/>
      <c r="K97" s="415"/>
      <c r="L97" s="415"/>
      <c r="M97" s="415"/>
      <c r="N97" s="415"/>
      <c r="O97" s="415"/>
      <c r="P97" s="414"/>
      <c r="Q97" s="455"/>
      <c r="R97" s="414"/>
      <c r="S97" s="414"/>
      <c r="T97" s="488"/>
      <c r="U97" s="488"/>
    </row>
    <row r="98" spans="1:26" ht="165" x14ac:dyDescent="0.25">
      <c r="A98" s="441">
        <v>76</v>
      </c>
      <c r="B98" s="288">
        <v>1</v>
      </c>
      <c r="C98" s="416" t="s">
        <v>150</v>
      </c>
      <c r="D98" s="409" t="s">
        <v>474</v>
      </c>
      <c r="E98" s="448" t="s">
        <v>475</v>
      </c>
      <c r="F98" s="291" t="s">
        <v>299</v>
      </c>
      <c r="G98" s="448">
        <v>6</v>
      </c>
      <c r="H98" s="443" t="s">
        <v>450</v>
      </c>
      <c r="I98" s="450">
        <v>120</v>
      </c>
      <c r="J98" s="451"/>
      <c r="K98" s="450">
        <v>120</v>
      </c>
      <c r="L98" s="449"/>
      <c r="M98" s="399" t="s">
        <v>129</v>
      </c>
      <c r="N98" s="452"/>
      <c r="O98" s="448"/>
      <c r="P98" s="291" t="s">
        <v>498</v>
      </c>
      <c r="Q98" s="330" t="s">
        <v>476</v>
      </c>
      <c r="R98" s="417"/>
      <c r="S98" s="418"/>
      <c r="T98" s="80"/>
      <c r="U98" s="81"/>
      <c r="V98" s="489"/>
      <c r="W98" s="81"/>
      <c r="X98" s="81"/>
      <c r="Y98" s="82"/>
      <c r="Z98" s="81"/>
    </row>
    <row r="99" spans="1:26" ht="90" x14ac:dyDescent="0.25">
      <c r="A99" s="441">
        <v>77</v>
      </c>
      <c r="B99" s="288">
        <v>1</v>
      </c>
      <c r="C99" s="416" t="s">
        <v>283</v>
      </c>
      <c r="D99" s="290" t="s">
        <v>477</v>
      </c>
      <c r="E99" s="453" t="s">
        <v>478</v>
      </c>
      <c r="F99" s="291" t="s">
        <v>299</v>
      </c>
      <c r="G99" s="352">
        <v>28</v>
      </c>
      <c r="H99" s="291" t="s">
        <v>450</v>
      </c>
      <c r="I99" s="454">
        <v>2050</v>
      </c>
      <c r="J99" s="352"/>
      <c r="K99" s="454">
        <v>2050</v>
      </c>
      <c r="L99" s="399">
        <v>1650</v>
      </c>
      <c r="M99" s="399" t="s">
        <v>129</v>
      </c>
      <c r="N99" s="352"/>
      <c r="O99" s="352"/>
      <c r="P99" s="291" t="s">
        <v>499</v>
      </c>
      <c r="Q99" s="330" t="s">
        <v>480</v>
      </c>
      <c r="R99" s="412" t="s">
        <v>500</v>
      </c>
      <c r="S99" s="419"/>
      <c r="T99" s="488"/>
      <c r="U99" s="488"/>
    </row>
    <row r="100" spans="1:26" ht="105" x14ac:dyDescent="0.25">
      <c r="A100" s="441">
        <v>78</v>
      </c>
      <c r="B100" s="288">
        <v>1</v>
      </c>
      <c r="C100" s="416" t="s">
        <v>148</v>
      </c>
      <c r="D100" s="409" t="s">
        <v>481</v>
      </c>
      <c r="E100" s="453" t="s">
        <v>482</v>
      </c>
      <c r="F100" s="291" t="s">
        <v>299</v>
      </c>
      <c r="G100" s="289">
        <v>21</v>
      </c>
      <c r="H100" s="291" t="s">
        <v>450</v>
      </c>
      <c r="I100" s="352">
        <v>200</v>
      </c>
      <c r="J100" s="352"/>
      <c r="K100" s="352">
        <v>200</v>
      </c>
      <c r="L100" s="352"/>
      <c r="M100" s="399" t="s">
        <v>129</v>
      </c>
      <c r="N100" s="352"/>
      <c r="O100" s="352"/>
      <c r="P100" s="291" t="s">
        <v>501</v>
      </c>
      <c r="Q100" s="330" t="s">
        <v>483</v>
      </c>
      <c r="R100" s="419"/>
      <c r="S100" s="419"/>
      <c r="T100" s="488"/>
      <c r="U100" s="488"/>
    </row>
    <row r="101" spans="1:26" ht="63" x14ac:dyDescent="0.25">
      <c r="A101" s="441">
        <v>79</v>
      </c>
      <c r="B101" s="288">
        <v>1</v>
      </c>
      <c r="C101" s="416" t="s">
        <v>148</v>
      </c>
      <c r="D101" s="409" t="s">
        <v>484</v>
      </c>
      <c r="E101" s="453" t="s">
        <v>485</v>
      </c>
      <c r="F101" s="291" t="s">
        <v>299</v>
      </c>
      <c r="G101" s="289">
        <v>14</v>
      </c>
      <c r="H101" s="291" t="s">
        <v>486</v>
      </c>
      <c r="I101" s="352">
        <v>300</v>
      </c>
      <c r="J101" s="352"/>
      <c r="K101" s="352">
        <v>300</v>
      </c>
      <c r="L101" s="352"/>
      <c r="M101" s="399" t="s">
        <v>129</v>
      </c>
      <c r="N101" s="352"/>
      <c r="O101" s="352"/>
      <c r="P101" s="291" t="s">
        <v>502</v>
      </c>
      <c r="Q101" s="330" t="s">
        <v>487</v>
      </c>
      <c r="R101" s="419"/>
      <c r="S101" s="419"/>
      <c r="T101" s="488"/>
      <c r="U101" s="488"/>
    </row>
    <row r="102" spans="1:26" ht="60" x14ac:dyDescent="0.25">
      <c r="A102" s="441">
        <v>80</v>
      </c>
      <c r="B102" s="288">
        <v>1</v>
      </c>
      <c r="C102" s="416" t="s">
        <v>151</v>
      </c>
      <c r="D102" s="409" t="s">
        <v>488</v>
      </c>
      <c r="E102" s="291" t="s">
        <v>489</v>
      </c>
      <c r="F102" s="291" t="s">
        <v>299</v>
      </c>
      <c r="G102" s="352">
        <v>13</v>
      </c>
      <c r="H102" s="291" t="s">
        <v>450</v>
      </c>
      <c r="I102" s="352">
        <v>450</v>
      </c>
      <c r="J102" s="352"/>
      <c r="K102" s="352">
        <v>450</v>
      </c>
      <c r="L102" s="352"/>
      <c r="M102" s="399" t="s">
        <v>129</v>
      </c>
      <c r="N102" s="352"/>
      <c r="O102" s="352"/>
      <c r="P102" s="291" t="s">
        <v>503</v>
      </c>
      <c r="Q102" s="330" t="s">
        <v>490</v>
      </c>
      <c r="R102" s="419"/>
      <c r="S102" s="419"/>
      <c r="T102" s="488"/>
      <c r="U102" s="488"/>
    </row>
    <row r="103" spans="1:26" ht="315" x14ac:dyDescent="0.25">
      <c r="A103" s="441">
        <v>81</v>
      </c>
      <c r="B103" s="288">
        <v>1</v>
      </c>
      <c r="C103" s="298" t="s">
        <v>152</v>
      </c>
      <c r="D103" s="369" t="s">
        <v>491</v>
      </c>
      <c r="E103" s="369" t="s">
        <v>492</v>
      </c>
      <c r="F103" s="300" t="s">
        <v>471</v>
      </c>
      <c r="G103" s="369">
        <v>6</v>
      </c>
      <c r="H103" s="300" t="s">
        <v>450</v>
      </c>
      <c r="I103" s="369">
        <v>350</v>
      </c>
      <c r="J103" s="369"/>
      <c r="K103" s="369">
        <v>350</v>
      </c>
      <c r="L103" s="369"/>
      <c r="M103" s="369" t="s">
        <v>129</v>
      </c>
      <c r="N103" s="369"/>
      <c r="O103" s="369"/>
      <c r="P103" s="369" t="s">
        <v>504</v>
      </c>
      <c r="Q103" s="333" t="s">
        <v>505</v>
      </c>
      <c r="R103" s="369"/>
      <c r="S103" s="369"/>
      <c r="T103" s="488"/>
      <c r="U103" s="488"/>
    </row>
    <row r="104" spans="1:26" ht="60" x14ac:dyDescent="0.25">
      <c r="A104" s="441">
        <v>82</v>
      </c>
      <c r="B104" s="288">
        <v>1</v>
      </c>
      <c r="C104" s="298" t="s">
        <v>149</v>
      </c>
      <c r="D104" s="369" t="s">
        <v>495</v>
      </c>
      <c r="E104" s="300" t="s">
        <v>494</v>
      </c>
      <c r="F104" s="300" t="s">
        <v>471</v>
      </c>
      <c r="G104" s="369"/>
      <c r="H104" s="300" t="s">
        <v>450</v>
      </c>
      <c r="I104" s="369">
        <v>500</v>
      </c>
      <c r="J104" s="369"/>
      <c r="K104" s="369">
        <v>500</v>
      </c>
      <c r="L104" s="369"/>
      <c r="M104" s="369" t="s">
        <v>129</v>
      </c>
      <c r="N104" s="369"/>
      <c r="O104" s="369"/>
      <c r="P104" s="369"/>
      <c r="Q104" s="333" t="s">
        <v>509</v>
      </c>
      <c r="R104" s="369"/>
      <c r="S104" s="369"/>
      <c r="T104" s="488"/>
      <c r="U104" s="488"/>
    </row>
    <row r="105" spans="1:26" ht="255" x14ac:dyDescent="0.25">
      <c r="A105" s="441">
        <v>83</v>
      </c>
      <c r="B105" s="288">
        <v>1</v>
      </c>
      <c r="C105" s="298" t="s">
        <v>506</v>
      </c>
      <c r="D105" s="300" t="s">
        <v>493</v>
      </c>
      <c r="E105" s="300" t="s">
        <v>494</v>
      </c>
      <c r="F105" s="300" t="s">
        <v>471</v>
      </c>
      <c r="G105" s="369">
        <v>10</v>
      </c>
      <c r="H105" s="300" t="s">
        <v>450</v>
      </c>
      <c r="I105" s="369">
        <v>500</v>
      </c>
      <c r="J105" s="369"/>
      <c r="K105" s="369">
        <v>500</v>
      </c>
      <c r="L105" s="369"/>
      <c r="M105" s="369" t="s">
        <v>129</v>
      </c>
      <c r="N105" s="369"/>
      <c r="O105" s="300"/>
      <c r="P105" s="300" t="s">
        <v>507</v>
      </c>
      <c r="Q105" s="333" t="s">
        <v>563</v>
      </c>
      <c r="R105" s="369"/>
      <c r="S105" s="369"/>
      <c r="T105" s="488"/>
      <c r="U105" s="488"/>
    </row>
    <row r="106" spans="1:26" ht="45" x14ac:dyDescent="0.25">
      <c r="A106" s="441">
        <v>84</v>
      </c>
      <c r="B106" s="288">
        <v>1</v>
      </c>
      <c r="C106" s="416" t="s">
        <v>149</v>
      </c>
      <c r="D106" s="409" t="s">
        <v>496</v>
      </c>
      <c r="E106" s="291" t="s">
        <v>564</v>
      </c>
      <c r="F106" s="291" t="s">
        <v>299</v>
      </c>
      <c r="G106" s="352"/>
      <c r="H106" s="291" t="s">
        <v>450</v>
      </c>
      <c r="I106" s="352"/>
      <c r="J106" s="352"/>
      <c r="K106" s="352"/>
      <c r="L106" s="352"/>
      <c r="M106" s="352" t="s">
        <v>99</v>
      </c>
      <c r="N106" s="352"/>
      <c r="O106" s="352"/>
      <c r="P106" s="352"/>
      <c r="Q106" s="330" t="s">
        <v>562</v>
      </c>
      <c r="R106" s="419"/>
      <c r="S106" s="419"/>
      <c r="T106" s="491"/>
      <c r="U106" s="491"/>
      <c r="V106" s="82"/>
      <c r="W106" s="82"/>
      <c r="X106" s="82"/>
      <c r="Y106" s="82"/>
    </row>
  </sheetData>
  <autoFilter ref="B10:S106" xr:uid="{00000000-0009-0000-0000-000000000000}">
    <filterColumn colId="7" showButton="0"/>
    <filterColumn colId="8" showButton="0"/>
    <filterColumn colId="9" showButton="0"/>
  </autoFilter>
  <mergeCells count="28">
    <mergeCell ref="T10:T11"/>
    <mergeCell ref="U10:U11"/>
    <mergeCell ref="A10:A11"/>
    <mergeCell ref="C92:S92"/>
    <mergeCell ref="C61:S61"/>
    <mergeCell ref="C66:S66"/>
    <mergeCell ref="C75:S75"/>
    <mergeCell ref="C84:S84"/>
    <mergeCell ref="C89:S89"/>
    <mergeCell ref="C12:S12"/>
    <mergeCell ref="C18:S18"/>
    <mergeCell ref="C38:S38"/>
    <mergeCell ref="C46:S46"/>
    <mergeCell ref="C57:S57"/>
    <mergeCell ref="C10:C11"/>
    <mergeCell ref="R10:R11"/>
    <mergeCell ref="S10:S11"/>
    <mergeCell ref="B10:B11"/>
    <mergeCell ref="D10:D11"/>
    <mergeCell ref="E10:E11"/>
    <mergeCell ref="G10:G11"/>
    <mergeCell ref="I10:L10"/>
    <mergeCell ref="M10:M11"/>
    <mergeCell ref="O10:O11"/>
    <mergeCell ref="P10:P11"/>
    <mergeCell ref="Q10:Q11"/>
    <mergeCell ref="N10:N11"/>
    <mergeCell ref="F10:F11"/>
  </mergeCells>
  <phoneticPr fontId="19" type="noConversion"/>
  <printOptions horizontalCentered="1"/>
  <pageMargins left="3.937007874015748E-2" right="3.937007874015748E-2" top="0.35433070866141736" bottom="0.15748031496062992" header="0.31496062992125984" footer="0.31496062992125984"/>
  <pageSetup paperSize="8"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39"/>
  <sheetViews>
    <sheetView zoomScale="70" zoomScaleNormal="70" workbookViewId="0">
      <selection activeCell="F4" sqref="F4"/>
    </sheetView>
  </sheetViews>
  <sheetFormatPr defaultRowHeight="15" x14ac:dyDescent="0.25"/>
  <cols>
    <col min="3" max="3" width="47.28515625" customWidth="1"/>
    <col min="4" max="4" width="44.7109375" customWidth="1"/>
    <col min="5" max="5" width="59.7109375" customWidth="1"/>
    <col min="6" max="6" width="29.28515625" customWidth="1"/>
    <col min="7" max="7" width="16.42578125" customWidth="1"/>
    <col min="8" max="8" width="19.28515625" customWidth="1"/>
    <col min="9" max="9" width="25.85546875" customWidth="1"/>
    <col min="10" max="10" width="23.85546875" customWidth="1"/>
    <col min="11" max="11" width="21.28515625" customWidth="1"/>
    <col min="12" max="12" width="33.7109375" customWidth="1"/>
    <col min="13" max="13" width="18.7109375" customWidth="1"/>
    <col min="14" max="14" width="14.42578125" customWidth="1"/>
    <col min="15" max="15" width="14.28515625" customWidth="1"/>
    <col min="16" max="16" width="17.7109375" customWidth="1"/>
    <col min="17" max="17" width="123.85546875" customWidth="1"/>
    <col min="18" max="18" width="19" customWidth="1"/>
    <col min="19" max="19" width="17.42578125" customWidth="1"/>
  </cols>
  <sheetData>
    <row r="2" spans="1:19" ht="23.25" x14ac:dyDescent="0.25">
      <c r="C2" s="84"/>
      <c r="D2" s="76" t="s">
        <v>385</v>
      </c>
      <c r="E2" s="85" t="s">
        <v>386</v>
      </c>
      <c r="F2" s="189" t="s">
        <v>293</v>
      </c>
    </row>
    <row r="3" spans="1:19" ht="23.25" x14ac:dyDescent="0.25">
      <c r="C3" s="87" t="s">
        <v>375</v>
      </c>
      <c r="D3" s="76">
        <v>33</v>
      </c>
      <c r="E3" s="88">
        <v>110899.94</v>
      </c>
      <c r="F3" s="89">
        <v>2231</v>
      </c>
    </row>
    <row r="5" spans="1:19" ht="46.5" x14ac:dyDescent="0.25">
      <c r="A5" s="474" t="s">
        <v>0</v>
      </c>
      <c r="B5" s="474" t="s">
        <v>0</v>
      </c>
      <c r="C5" s="474" t="s">
        <v>289</v>
      </c>
      <c r="D5" s="474" t="s">
        <v>3</v>
      </c>
      <c r="E5" s="474" t="s">
        <v>2</v>
      </c>
      <c r="F5" s="475" t="s">
        <v>298</v>
      </c>
      <c r="G5" s="474" t="s">
        <v>537</v>
      </c>
      <c r="H5" s="278" t="s">
        <v>16</v>
      </c>
      <c r="I5" s="474" t="s">
        <v>93</v>
      </c>
      <c r="J5" s="474"/>
      <c r="K5" s="474"/>
      <c r="L5" s="474"/>
      <c r="M5" s="474" t="s">
        <v>232</v>
      </c>
      <c r="N5" s="474" t="s">
        <v>233</v>
      </c>
      <c r="O5" s="474" t="s">
        <v>13</v>
      </c>
      <c r="P5" s="474" t="s">
        <v>159</v>
      </c>
      <c r="Q5" s="474" t="s">
        <v>11</v>
      </c>
      <c r="R5" s="474" t="s">
        <v>169</v>
      </c>
      <c r="S5" s="474" t="s">
        <v>95</v>
      </c>
    </row>
    <row r="6" spans="1:19" ht="116.25" x14ac:dyDescent="0.25">
      <c r="A6" s="474"/>
      <c r="B6" s="474"/>
      <c r="C6" s="477"/>
      <c r="D6" s="474"/>
      <c r="E6" s="474"/>
      <c r="F6" s="476"/>
      <c r="G6" s="474"/>
      <c r="H6" s="278" t="s">
        <v>387</v>
      </c>
      <c r="I6" s="278" t="s">
        <v>137</v>
      </c>
      <c r="J6" s="278" t="s">
        <v>294</v>
      </c>
      <c r="K6" s="278" t="s">
        <v>156</v>
      </c>
      <c r="L6" s="279" t="s">
        <v>127</v>
      </c>
      <c r="M6" s="474"/>
      <c r="N6" s="474"/>
      <c r="O6" s="474"/>
      <c r="P6" s="474"/>
      <c r="Q6" s="474"/>
      <c r="R6" s="474"/>
      <c r="S6" s="474"/>
    </row>
    <row r="7" spans="1:19" ht="186" x14ac:dyDescent="0.25">
      <c r="A7" s="95">
        <v>1</v>
      </c>
      <c r="B7" s="96"/>
      <c r="C7" s="97" t="s">
        <v>147</v>
      </c>
      <c r="D7" s="98" t="s">
        <v>510</v>
      </c>
      <c r="E7" s="99" t="s">
        <v>187</v>
      </c>
      <c r="F7" s="99" t="s">
        <v>299</v>
      </c>
      <c r="G7" s="100">
        <v>50</v>
      </c>
      <c r="H7" s="100"/>
      <c r="I7" s="101">
        <v>386.8</v>
      </c>
      <c r="J7" s="101"/>
      <c r="K7" s="101">
        <f>I7</f>
        <v>386.8</v>
      </c>
      <c r="L7" s="102"/>
      <c r="M7" s="101" t="s">
        <v>129</v>
      </c>
      <c r="N7" s="101" t="s">
        <v>129</v>
      </c>
      <c r="O7" s="101">
        <v>0.99360000000000004</v>
      </c>
      <c r="P7" s="103" t="s">
        <v>186</v>
      </c>
      <c r="Q7" s="104" t="s">
        <v>182</v>
      </c>
      <c r="R7" s="105" t="s">
        <v>170</v>
      </c>
      <c r="S7" s="99" t="s">
        <v>222</v>
      </c>
    </row>
    <row r="8" spans="1:19" ht="93" x14ac:dyDescent="0.25">
      <c r="A8" s="95">
        <v>2</v>
      </c>
      <c r="B8" s="285"/>
      <c r="C8" s="130" t="s">
        <v>147</v>
      </c>
      <c r="D8" s="131" t="s">
        <v>363</v>
      </c>
      <c r="E8" s="132" t="s">
        <v>364</v>
      </c>
      <c r="F8" s="133"/>
      <c r="G8" s="134">
        <v>99</v>
      </c>
      <c r="H8" s="134" t="s">
        <v>389</v>
      </c>
      <c r="I8" s="135"/>
      <c r="J8" s="135"/>
      <c r="K8" s="136">
        <v>5000</v>
      </c>
      <c r="L8" s="137">
        <v>5000</v>
      </c>
      <c r="M8" s="137"/>
      <c r="N8" s="135"/>
      <c r="O8" s="138"/>
      <c r="P8" s="132" t="s">
        <v>365</v>
      </c>
      <c r="Q8" s="139" t="s">
        <v>366</v>
      </c>
      <c r="R8" s="140" t="s">
        <v>367</v>
      </c>
      <c r="S8" s="132" t="s">
        <v>368</v>
      </c>
    </row>
    <row r="9" spans="1:19" ht="162.75" x14ac:dyDescent="0.25">
      <c r="A9" s="95">
        <v>3</v>
      </c>
      <c r="B9" s="285"/>
      <c r="C9" s="97" t="s">
        <v>148</v>
      </c>
      <c r="D9" s="142" t="s">
        <v>514</v>
      </c>
      <c r="E9" s="99" t="s">
        <v>515</v>
      </c>
      <c r="F9" s="99" t="s">
        <v>299</v>
      </c>
      <c r="G9" s="143">
        <v>128</v>
      </c>
      <c r="H9" s="143"/>
      <c r="I9" s="101">
        <v>10000</v>
      </c>
      <c r="J9" s="101"/>
      <c r="K9" s="101">
        <v>10000</v>
      </c>
      <c r="L9" s="102">
        <v>7000</v>
      </c>
      <c r="M9" s="144" t="s">
        <v>99</v>
      </c>
      <c r="N9" s="144">
        <v>2026</v>
      </c>
      <c r="O9" s="101">
        <v>30</v>
      </c>
      <c r="P9" s="99" t="s">
        <v>185</v>
      </c>
      <c r="Q9" s="145" t="s">
        <v>516</v>
      </c>
      <c r="R9" s="99" t="s">
        <v>199</v>
      </c>
      <c r="S9" s="99" t="s">
        <v>211</v>
      </c>
    </row>
    <row r="10" spans="1:19" ht="139.5" x14ac:dyDescent="0.25">
      <c r="A10" s="95">
        <v>4</v>
      </c>
      <c r="B10" s="285"/>
      <c r="C10" s="130" t="s">
        <v>148</v>
      </c>
      <c r="D10" s="158" t="s">
        <v>268</v>
      </c>
      <c r="E10" s="132" t="s">
        <v>267</v>
      </c>
      <c r="F10" s="132" t="s">
        <v>316</v>
      </c>
      <c r="G10" s="134">
        <v>20</v>
      </c>
      <c r="H10" s="134" t="s">
        <v>389</v>
      </c>
      <c r="I10" s="135"/>
      <c r="J10" s="135"/>
      <c r="K10" s="135">
        <v>651.29999999999995</v>
      </c>
      <c r="L10" s="136">
        <v>500</v>
      </c>
      <c r="M10" s="137"/>
      <c r="N10" s="137"/>
      <c r="O10" s="135"/>
      <c r="P10" s="132" t="s">
        <v>270</v>
      </c>
      <c r="Q10" s="139" t="s">
        <v>441</v>
      </c>
      <c r="R10" s="132" t="s">
        <v>269</v>
      </c>
      <c r="S10" s="132"/>
    </row>
    <row r="11" spans="1:19" ht="139.5" x14ac:dyDescent="0.25">
      <c r="A11" s="95">
        <v>5</v>
      </c>
      <c r="B11" s="285"/>
      <c r="C11" s="130" t="s">
        <v>148</v>
      </c>
      <c r="D11" s="132" t="s">
        <v>278</v>
      </c>
      <c r="E11" s="132" t="s">
        <v>409</v>
      </c>
      <c r="F11" s="159" t="s">
        <v>316</v>
      </c>
      <c r="G11" s="134"/>
      <c r="H11" s="134" t="s">
        <v>389</v>
      </c>
      <c r="I11" s="135"/>
      <c r="J11" s="135"/>
      <c r="K11" s="160">
        <v>650</v>
      </c>
      <c r="L11" s="136">
        <v>650</v>
      </c>
      <c r="M11" s="137"/>
      <c r="N11" s="137"/>
      <c r="O11" s="135"/>
      <c r="P11" s="132" t="s">
        <v>422</v>
      </c>
      <c r="Q11" s="139" t="s">
        <v>396</v>
      </c>
      <c r="R11" s="132" t="s">
        <v>400</v>
      </c>
      <c r="S11" s="132"/>
    </row>
    <row r="12" spans="1:19" ht="139.5" x14ac:dyDescent="0.25">
      <c r="A12" s="95">
        <v>6</v>
      </c>
      <c r="B12" s="285"/>
      <c r="C12" s="130" t="s">
        <v>148</v>
      </c>
      <c r="D12" s="132" t="s">
        <v>279</v>
      </c>
      <c r="E12" s="132" t="s">
        <v>402</v>
      </c>
      <c r="F12" s="159" t="s">
        <v>316</v>
      </c>
      <c r="G12" s="134"/>
      <c r="H12" s="134" t="s">
        <v>389</v>
      </c>
      <c r="I12" s="135"/>
      <c r="J12" s="135"/>
      <c r="K12" s="160">
        <v>1314.2</v>
      </c>
      <c r="L12" s="136">
        <v>1314.2</v>
      </c>
      <c r="M12" s="137"/>
      <c r="N12" s="137"/>
      <c r="O12" s="135"/>
      <c r="P12" s="132" t="s">
        <v>423</v>
      </c>
      <c r="Q12" s="139" t="s">
        <v>396</v>
      </c>
      <c r="R12" s="132" t="s">
        <v>397</v>
      </c>
      <c r="S12" s="132"/>
    </row>
    <row r="13" spans="1:19" ht="139.5" x14ac:dyDescent="0.25">
      <c r="A13" s="95">
        <v>7</v>
      </c>
      <c r="B13" s="285"/>
      <c r="C13" s="130" t="s">
        <v>148</v>
      </c>
      <c r="D13" s="132" t="s">
        <v>282</v>
      </c>
      <c r="E13" s="132" t="s">
        <v>409</v>
      </c>
      <c r="F13" s="159" t="s">
        <v>316</v>
      </c>
      <c r="G13" s="134"/>
      <c r="H13" s="134" t="s">
        <v>389</v>
      </c>
      <c r="I13" s="135"/>
      <c r="J13" s="135"/>
      <c r="K13" s="160">
        <v>199.5</v>
      </c>
      <c r="L13" s="160">
        <v>199.5</v>
      </c>
      <c r="M13" s="137"/>
      <c r="N13" s="137"/>
      <c r="O13" s="135"/>
      <c r="P13" s="132" t="s">
        <v>426</v>
      </c>
      <c r="Q13" s="139" t="s">
        <v>417</v>
      </c>
      <c r="R13" s="132" t="s">
        <v>429</v>
      </c>
      <c r="S13" s="132"/>
    </row>
    <row r="14" spans="1:19" ht="69.75" x14ac:dyDescent="0.25">
      <c r="A14" s="95">
        <v>8</v>
      </c>
      <c r="B14" s="285"/>
      <c r="C14" s="97" t="s">
        <v>148</v>
      </c>
      <c r="D14" s="179" t="s">
        <v>384</v>
      </c>
      <c r="E14" s="99" t="s">
        <v>411</v>
      </c>
      <c r="F14" s="180"/>
      <c r="G14" s="97">
        <v>10</v>
      </c>
      <c r="H14" s="97"/>
      <c r="I14" s="180">
        <v>601.79999999999995</v>
      </c>
      <c r="J14" s="180"/>
      <c r="K14" s="180">
        <v>601.79999999999995</v>
      </c>
      <c r="L14" s="180"/>
      <c r="M14" s="180"/>
      <c r="N14" s="180"/>
      <c r="O14" s="180"/>
      <c r="P14" s="180"/>
      <c r="Q14" s="180"/>
      <c r="R14" s="181" t="s">
        <v>431</v>
      </c>
      <c r="S14" s="180"/>
    </row>
    <row r="15" spans="1:19" ht="162.75" x14ac:dyDescent="0.25">
      <c r="A15" s="95">
        <v>9</v>
      </c>
      <c r="B15" s="285"/>
      <c r="C15" s="130" t="s">
        <v>151</v>
      </c>
      <c r="D15" s="132" t="s">
        <v>255</v>
      </c>
      <c r="E15" s="132" t="s">
        <v>408</v>
      </c>
      <c r="F15" s="152" t="s">
        <v>403</v>
      </c>
      <c r="G15" s="185"/>
      <c r="H15" s="134" t="s">
        <v>388</v>
      </c>
      <c r="I15" s="135"/>
      <c r="J15" s="135"/>
      <c r="K15" s="186">
        <v>941</v>
      </c>
      <c r="L15" s="136"/>
      <c r="M15" s="137"/>
      <c r="N15" s="137"/>
      <c r="O15" s="135"/>
      <c r="P15" s="132" t="s">
        <v>432</v>
      </c>
      <c r="Q15" s="187" t="s">
        <v>412</v>
      </c>
      <c r="R15" s="188" t="s">
        <v>413</v>
      </c>
      <c r="S15" s="132"/>
    </row>
    <row r="16" spans="1:19" ht="162.75" x14ac:dyDescent="0.25">
      <c r="A16" s="95">
        <v>10</v>
      </c>
      <c r="B16" s="285"/>
      <c r="C16" s="130" t="s">
        <v>149</v>
      </c>
      <c r="D16" s="132" t="s">
        <v>259</v>
      </c>
      <c r="E16" s="132" t="s">
        <v>408</v>
      </c>
      <c r="F16" s="152" t="s">
        <v>403</v>
      </c>
      <c r="G16" s="185">
        <v>20</v>
      </c>
      <c r="H16" s="134" t="s">
        <v>388</v>
      </c>
      <c r="I16" s="135"/>
      <c r="J16" s="135"/>
      <c r="K16" s="135">
        <v>386</v>
      </c>
      <c r="L16" s="136"/>
      <c r="M16" s="137"/>
      <c r="N16" s="137"/>
      <c r="O16" s="135">
        <v>5882</v>
      </c>
      <c r="P16" s="132" t="s">
        <v>414</v>
      </c>
      <c r="Q16" s="139" t="s">
        <v>412</v>
      </c>
      <c r="R16" s="188"/>
      <c r="S16" s="132"/>
    </row>
    <row r="17" spans="1:19" ht="162.75" x14ac:dyDescent="0.25">
      <c r="A17" s="95">
        <v>11</v>
      </c>
      <c r="B17" s="285"/>
      <c r="C17" s="130" t="s">
        <v>149</v>
      </c>
      <c r="D17" s="132" t="s">
        <v>260</v>
      </c>
      <c r="E17" s="132" t="s">
        <v>404</v>
      </c>
      <c r="F17" s="152" t="s">
        <v>403</v>
      </c>
      <c r="G17" s="185">
        <v>10</v>
      </c>
      <c r="H17" s="134" t="s">
        <v>388</v>
      </c>
      <c r="I17" s="135"/>
      <c r="J17" s="135"/>
      <c r="K17" s="135">
        <v>142</v>
      </c>
      <c r="L17" s="136"/>
      <c r="M17" s="137"/>
      <c r="N17" s="137"/>
      <c r="O17" s="135">
        <v>416</v>
      </c>
      <c r="P17" s="132" t="s">
        <v>415</v>
      </c>
      <c r="Q17" s="139" t="s">
        <v>412</v>
      </c>
      <c r="R17" s="188"/>
      <c r="S17" s="132"/>
    </row>
    <row r="18" spans="1:19" ht="139.5" x14ac:dyDescent="0.25">
      <c r="A18" s="95">
        <v>12</v>
      </c>
      <c r="B18" s="285"/>
      <c r="C18" s="130" t="s">
        <v>149</v>
      </c>
      <c r="D18" s="132" t="s">
        <v>272</v>
      </c>
      <c r="E18" s="132" t="s">
        <v>409</v>
      </c>
      <c r="F18" s="159" t="s">
        <v>316</v>
      </c>
      <c r="G18" s="185">
        <v>19</v>
      </c>
      <c r="H18" s="135" t="s">
        <v>389</v>
      </c>
      <c r="I18" s="135"/>
      <c r="J18" s="135"/>
      <c r="K18" s="160">
        <v>553.6</v>
      </c>
      <c r="L18" s="160">
        <v>553.6</v>
      </c>
      <c r="M18" s="137"/>
      <c r="N18" s="137"/>
      <c r="O18" s="135">
        <v>1162</v>
      </c>
      <c r="P18" s="132" t="s">
        <v>416</v>
      </c>
      <c r="Q18" s="139" t="s">
        <v>417</v>
      </c>
      <c r="R18" s="140" t="s">
        <v>275</v>
      </c>
      <c r="S18" s="132"/>
    </row>
    <row r="19" spans="1:19" ht="139.5" x14ac:dyDescent="0.25">
      <c r="A19" s="95">
        <v>13</v>
      </c>
      <c r="B19" s="285"/>
      <c r="C19" s="130" t="s">
        <v>149</v>
      </c>
      <c r="D19" s="132" t="s">
        <v>273</v>
      </c>
      <c r="E19" s="132" t="s">
        <v>409</v>
      </c>
      <c r="F19" s="159" t="s">
        <v>316</v>
      </c>
      <c r="G19" s="185">
        <v>23</v>
      </c>
      <c r="H19" s="135" t="s">
        <v>389</v>
      </c>
      <c r="I19" s="135"/>
      <c r="J19" s="135"/>
      <c r="K19" s="160">
        <v>1209.8</v>
      </c>
      <c r="L19" s="160">
        <v>1209.8</v>
      </c>
      <c r="M19" s="137"/>
      <c r="N19" s="137"/>
      <c r="O19" s="135">
        <v>5400</v>
      </c>
      <c r="P19" s="132" t="s">
        <v>418</v>
      </c>
      <c r="Q19" s="139" t="s">
        <v>417</v>
      </c>
      <c r="R19" s="140" t="s">
        <v>276</v>
      </c>
      <c r="S19" s="132"/>
    </row>
    <row r="20" spans="1:19" ht="139.5" x14ac:dyDescent="0.25">
      <c r="A20" s="95">
        <v>14</v>
      </c>
      <c r="B20" s="285"/>
      <c r="C20" s="130" t="s">
        <v>149</v>
      </c>
      <c r="D20" s="132" t="s">
        <v>274</v>
      </c>
      <c r="E20" s="132" t="s">
        <v>409</v>
      </c>
      <c r="F20" s="159" t="s">
        <v>316</v>
      </c>
      <c r="G20" s="185">
        <v>50</v>
      </c>
      <c r="H20" s="135" t="s">
        <v>389</v>
      </c>
      <c r="I20" s="135"/>
      <c r="J20" s="135"/>
      <c r="K20" s="160">
        <v>300.7</v>
      </c>
      <c r="L20" s="160">
        <v>300.7</v>
      </c>
      <c r="M20" s="137"/>
      <c r="N20" s="137"/>
      <c r="O20" s="135">
        <v>184</v>
      </c>
      <c r="P20" s="132" t="s">
        <v>419</v>
      </c>
      <c r="Q20" s="139" t="s">
        <v>417</v>
      </c>
      <c r="R20" s="140" t="s">
        <v>277</v>
      </c>
      <c r="S20" s="132"/>
    </row>
    <row r="21" spans="1:19" ht="232.5" x14ac:dyDescent="0.25">
      <c r="A21" s="95">
        <v>15</v>
      </c>
      <c r="B21" s="285"/>
      <c r="C21" s="97" t="s">
        <v>152</v>
      </c>
      <c r="D21" s="142" t="s">
        <v>529</v>
      </c>
      <c r="E21" s="99" t="s">
        <v>42</v>
      </c>
      <c r="F21" s="99" t="s">
        <v>299</v>
      </c>
      <c r="G21" s="97">
        <v>100</v>
      </c>
      <c r="H21" s="97"/>
      <c r="I21" s="101">
        <v>750</v>
      </c>
      <c r="J21" s="101"/>
      <c r="K21" s="101">
        <v>1500</v>
      </c>
      <c r="L21" s="102">
        <v>0</v>
      </c>
      <c r="M21" s="144" t="s">
        <v>129</v>
      </c>
      <c r="N21" s="144"/>
      <c r="O21" s="101">
        <v>2512</v>
      </c>
      <c r="P21" s="181" t="s">
        <v>162</v>
      </c>
      <c r="Q21" s="145" t="s">
        <v>238</v>
      </c>
      <c r="R21" s="181" t="s">
        <v>204</v>
      </c>
      <c r="S21" s="99" t="s">
        <v>217</v>
      </c>
    </row>
    <row r="22" spans="1:19" ht="209.25" x14ac:dyDescent="0.25">
      <c r="A22" s="95">
        <v>16</v>
      </c>
      <c r="B22" s="285"/>
      <c r="C22" s="255" t="s">
        <v>152</v>
      </c>
      <c r="D22" s="256" t="s">
        <v>453</v>
      </c>
      <c r="E22" s="132" t="s">
        <v>454</v>
      </c>
      <c r="F22" s="132"/>
      <c r="G22" s="255">
        <v>23</v>
      </c>
      <c r="H22" s="255" t="s">
        <v>455</v>
      </c>
      <c r="I22" s="132"/>
      <c r="J22" s="132"/>
      <c r="K22" s="138">
        <v>5500</v>
      </c>
      <c r="L22" s="132"/>
      <c r="M22" s="132" t="s">
        <v>99</v>
      </c>
      <c r="N22" s="132"/>
      <c r="O22" s="132"/>
      <c r="P22" s="132" t="s">
        <v>456</v>
      </c>
      <c r="Q22" s="132" t="s">
        <v>457</v>
      </c>
      <c r="R22" s="132"/>
      <c r="S22" s="132"/>
    </row>
    <row r="23" spans="1:19" ht="139.5" x14ac:dyDescent="0.25">
      <c r="A23" s="95">
        <v>17</v>
      </c>
      <c r="B23" s="285"/>
      <c r="C23" s="130" t="s">
        <v>152</v>
      </c>
      <c r="D23" s="132" t="s">
        <v>49</v>
      </c>
      <c r="E23" s="132" t="s">
        <v>409</v>
      </c>
      <c r="F23" s="159" t="s">
        <v>316</v>
      </c>
      <c r="G23" s="185"/>
      <c r="H23" s="185" t="s">
        <v>389</v>
      </c>
      <c r="I23" s="135"/>
      <c r="J23" s="135"/>
      <c r="K23" s="160">
        <v>500</v>
      </c>
      <c r="L23" s="160">
        <v>500</v>
      </c>
      <c r="M23" s="137"/>
      <c r="N23" s="137"/>
      <c r="O23" s="135"/>
      <c r="P23" s="188" t="s">
        <v>434</v>
      </c>
      <c r="Q23" s="139" t="s">
        <v>417</v>
      </c>
      <c r="R23" s="188" t="s">
        <v>271</v>
      </c>
      <c r="S23" s="132"/>
    </row>
    <row r="24" spans="1:19" ht="162.75" x14ac:dyDescent="0.25">
      <c r="A24" s="95">
        <v>18</v>
      </c>
      <c r="B24" s="285"/>
      <c r="C24" s="130" t="s">
        <v>153</v>
      </c>
      <c r="D24" s="132" t="s">
        <v>257</v>
      </c>
      <c r="E24" s="132" t="s">
        <v>405</v>
      </c>
      <c r="F24" s="152" t="s">
        <v>403</v>
      </c>
      <c r="G24" s="134">
        <v>10</v>
      </c>
      <c r="H24" s="134" t="s">
        <v>388</v>
      </c>
      <c r="I24" s="135"/>
      <c r="J24" s="135">
        <v>217</v>
      </c>
      <c r="K24" s="135">
        <v>217</v>
      </c>
      <c r="L24" s="136"/>
      <c r="M24" s="137"/>
      <c r="N24" s="137" t="s">
        <v>358</v>
      </c>
      <c r="O24" s="135" t="s">
        <v>359</v>
      </c>
      <c r="P24" s="132" t="s">
        <v>360</v>
      </c>
      <c r="Q24" s="208" t="s">
        <v>361</v>
      </c>
      <c r="R24" s="209" t="s">
        <v>362</v>
      </c>
      <c r="S24" s="132" t="s">
        <v>359</v>
      </c>
    </row>
    <row r="25" spans="1:19" ht="162.75" x14ac:dyDescent="0.25">
      <c r="A25" s="95">
        <v>19</v>
      </c>
      <c r="B25" s="285"/>
      <c r="C25" s="130" t="s">
        <v>153</v>
      </c>
      <c r="D25" s="132" t="s">
        <v>261</v>
      </c>
      <c r="E25" s="132" t="s">
        <v>406</v>
      </c>
      <c r="F25" s="152" t="s">
        <v>403</v>
      </c>
      <c r="G25" s="134"/>
      <c r="H25" s="134" t="s">
        <v>388</v>
      </c>
      <c r="I25" s="135"/>
      <c r="J25" s="135"/>
      <c r="K25" s="135">
        <v>527.23699999999997</v>
      </c>
      <c r="L25" s="136"/>
      <c r="M25" s="137"/>
      <c r="N25" s="137"/>
      <c r="O25" s="135">
        <v>1490</v>
      </c>
      <c r="P25" s="132" t="s">
        <v>420</v>
      </c>
      <c r="Q25" s="210" t="s">
        <v>412</v>
      </c>
      <c r="R25" s="209" t="s">
        <v>421</v>
      </c>
      <c r="S25" s="132"/>
    </row>
    <row r="26" spans="1:19" ht="23.25" x14ac:dyDescent="0.25">
      <c r="A26" s="95">
        <v>20</v>
      </c>
      <c r="B26" s="285"/>
      <c r="C26" s="211" t="s">
        <v>153</v>
      </c>
      <c r="D26" s="98" t="s">
        <v>376</v>
      </c>
      <c r="E26" s="99"/>
      <c r="F26" s="99"/>
      <c r="G26" s="211">
        <v>180</v>
      </c>
      <c r="H26" s="211"/>
      <c r="I26" s="212">
        <v>7500</v>
      </c>
      <c r="J26" s="212"/>
      <c r="K26" s="212">
        <v>7500</v>
      </c>
      <c r="L26" s="212"/>
      <c r="M26" s="212"/>
      <c r="N26" s="212"/>
      <c r="O26" s="212"/>
      <c r="P26" s="213"/>
      <c r="Q26" s="214"/>
      <c r="R26" s="99"/>
      <c r="S26" s="99"/>
    </row>
    <row r="27" spans="1:19" ht="209.25" x14ac:dyDescent="0.25">
      <c r="A27" s="95">
        <v>21</v>
      </c>
      <c r="B27" s="285"/>
      <c r="C27" s="97" t="s">
        <v>154</v>
      </c>
      <c r="D27" s="98" t="s">
        <v>532</v>
      </c>
      <c r="E27" s="99" t="s">
        <v>193</v>
      </c>
      <c r="F27" s="99" t="s">
        <v>299</v>
      </c>
      <c r="G27" s="143">
        <v>500</v>
      </c>
      <c r="H27" s="143"/>
      <c r="I27" s="101">
        <v>9800</v>
      </c>
      <c r="J27" s="101"/>
      <c r="K27" s="101">
        <v>9800</v>
      </c>
      <c r="L27" s="102">
        <v>300</v>
      </c>
      <c r="M27" s="144" t="s">
        <v>128</v>
      </c>
      <c r="N27" s="144"/>
      <c r="O27" s="101">
        <v>27</v>
      </c>
      <c r="P27" s="181" t="s">
        <v>168</v>
      </c>
      <c r="Q27" s="104" t="s">
        <v>196</v>
      </c>
      <c r="R27" s="181" t="s">
        <v>203</v>
      </c>
      <c r="S27" s="181" t="s">
        <v>231</v>
      </c>
    </row>
    <row r="28" spans="1:19" ht="23.25" x14ac:dyDescent="0.25">
      <c r="A28" s="95">
        <v>22</v>
      </c>
      <c r="B28" s="285"/>
      <c r="C28" s="97" t="s">
        <v>154</v>
      </c>
      <c r="D28" s="179" t="s">
        <v>382</v>
      </c>
      <c r="E28" s="180"/>
      <c r="F28" s="180"/>
      <c r="G28" s="97">
        <v>350</v>
      </c>
      <c r="H28" s="97"/>
      <c r="I28" s="235">
        <v>12000</v>
      </c>
      <c r="J28" s="235"/>
      <c r="K28" s="235">
        <v>12000</v>
      </c>
      <c r="L28" s="235"/>
      <c r="M28" s="180"/>
      <c r="N28" s="180"/>
      <c r="O28" s="180"/>
      <c r="P28" s="180"/>
      <c r="Q28" s="180"/>
      <c r="R28" s="180"/>
      <c r="S28" s="180"/>
    </row>
    <row r="29" spans="1:19" ht="23.25" x14ac:dyDescent="0.25">
      <c r="A29" s="95">
        <v>23</v>
      </c>
      <c r="B29" s="285"/>
      <c r="C29" s="97" t="s">
        <v>155</v>
      </c>
      <c r="D29" s="179" t="s">
        <v>383</v>
      </c>
      <c r="E29" s="180"/>
      <c r="F29" s="180"/>
      <c r="G29" s="97">
        <v>247</v>
      </c>
      <c r="H29" s="97"/>
      <c r="I29" s="235">
        <v>42800</v>
      </c>
      <c r="J29" s="235"/>
      <c r="K29" s="235">
        <v>42800</v>
      </c>
      <c r="L29" s="235"/>
      <c r="M29" s="180"/>
      <c r="N29" s="180"/>
      <c r="O29" s="180"/>
      <c r="P29" s="180"/>
      <c r="Q29" s="180"/>
      <c r="R29" s="180"/>
      <c r="S29" s="180"/>
    </row>
    <row r="30" spans="1:19" ht="162.75" x14ac:dyDescent="0.25">
      <c r="A30" s="95">
        <v>24</v>
      </c>
      <c r="B30" s="285"/>
      <c r="C30" s="130" t="s">
        <v>258</v>
      </c>
      <c r="D30" s="132" t="s">
        <v>256</v>
      </c>
      <c r="E30" s="132" t="s">
        <v>407</v>
      </c>
      <c r="F30" s="152" t="s">
        <v>403</v>
      </c>
      <c r="G30" s="185">
        <v>10</v>
      </c>
      <c r="H30" s="134" t="s">
        <v>388</v>
      </c>
      <c r="I30" s="135"/>
      <c r="J30" s="135"/>
      <c r="K30" s="135">
        <v>407</v>
      </c>
      <c r="L30" s="136"/>
      <c r="M30" s="137"/>
      <c r="N30" s="137"/>
      <c r="O30" s="135">
        <v>200</v>
      </c>
      <c r="P30" s="132" t="s">
        <v>349</v>
      </c>
      <c r="Q30" s="187" t="s">
        <v>351</v>
      </c>
      <c r="R30" s="188"/>
      <c r="S30" s="132" t="s">
        <v>305</v>
      </c>
    </row>
    <row r="31" spans="1:19" ht="139.5" x14ac:dyDescent="0.25">
      <c r="A31" s="95">
        <v>25</v>
      </c>
      <c r="B31" s="285"/>
      <c r="C31" s="130" t="s">
        <v>283</v>
      </c>
      <c r="D31" s="244" t="s">
        <v>284</v>
      </c>
      <c r="E31" s="132" t="s">
        <v>410</v>
      </c>
      <c r="F31" s="159" t="s">
        <v>316</v>
      </c>
      <c r="G31" s="130">
        <v>50</v>
      </c>
      <c r="H31" s="130" t="s">
        <v>389</v>
      </c>
      <c r="I31" s="138">
        <v>492</v>
      </c>
      <c r="J31" s="138"/>
      <c r="K31" s="138">
        <v>492</v>
      </c>
      <c r="L31" s="138">
        <v>492</v>
      </c>
      <c r="M31" s="138" t="s">
        <v>129</v>
      </c>
      <c r="N31" s="138"/>
      <c r="O31" s="138">
        <v>745</v>
      </c>
      <c r="P31" s="132" t="s">
        <v>436</v>
      </c>
      <c r="Q31" s="245" t="s">
        <v>435</v>
      </c>
      <c r="R31" s="246" t="s">
        <v>353</v>
      </c>
      <c r="S31" s="132" t="s">
        <v>356</v>
      </c>
    </row>
    <row r="32" spans="1:19" ht="116.25" x14ac:dyDescent="0.25">
      <c r="A32" s="95">
        <v>26</v>
      </c>
      <c r="B32" s="285"/>
      <c r="C32" s="97" t="s">
        <v>283</v>
      </c>
      <c r="D32" s="247" t="s">
        <v>295</v>
      </c>
      <c r="E32" s="99" t="s">
        <v>296</v>
      </c>
      <c r="F32" s="99" t="s">
        <v>299</v>
      </c>
      <c r="G32" s="97">
        <v>50</v>
      </c>
      <c r="H32" s="97"/>
      <c r="I32" s="235">
        <v>2700</v>
      </c>
      <c r="J32" s="235"/>
      <c r="K32" s="235">
        <v>2700</v>
      </c>
      <c r="L32" s="235"/>
      <c r="M32" s="235" t="s">
        <v>129</v>
      </c>
      <c r="N32" s="235" t="s">
        <v>129</v>
      </c>
      <c r="O32" s="235">
        <v>380</v>
      </c>
      <c r="P32" s="99" t="s">
        <v>350</v>
      </c>
      <c r="Q32" s="99" t="s">
        <v>352</v>
      </c>
      <c r="R32" s="99" t="s">
        <v>354</v>
      </c>
      <c r="S32" s="190" t="s">
        <v>356</v>
      </c>
    </row>
    <row r="33" spans="1:19" ht="139.5" x14ac:dyDescent="0.25">
      <c r="A33" s="95">
        <v>27</v>
      </c>
      <c r="B33" s="285"/>
      <c r="C33" s="273" t="s">
        <v>283</v>
      </c>
      <c r="D33" s="274" t="s">
        <v>448</v>
      </c>
      <c r="E33" s="271" t="s">
        <v>449</v>
      </c>
      <c r="F33" s="271"/>
      <c r="G33" s="273">
        <v>200</v>
      </c>
      <c r="H33" s="271" t="s">
        <v>450</v>
      </c>
      <c r="I33" s="271"/>
      <c r="J33" s="271"/>
      <c r="K33" s="275">
        <v>1500</v>
      </c>
      <c r="L33" s="271"/>
      <c r="M33" s="271" t="s">
        <v>451</v>
      </c>
      <c r="N33" s="271"/>
      <c r="O33" s="271"/>
      <c r="P33" s="276" t="s">
        <v>463</v>
      </c>
      <c r="Q33" s="271" t="s">
        <v>452</v>
      </c>
      <c r="R33" s="271"/>
      <c r="S33" s="271"/>
    </row>
    <row r="34" spans="1:19" ht="209.25" x14ac:dyDescent="0.25">
      <c r="A34" s="95">
        <v>28</v>
      </c>
      <c r="B34" s="285"/>
      <c r="C34" s="258" t="s">
        <v>150</v>
      </c>
      <c r="D34" s="280" t="s">
        <v>474</v>
      </c>
      <c r="E34" s="259" t="s">
        <v>475</v>
      </c>
      <c r="F34" s="260"/>
      <c r="G34" s="259">
        <v>6</v>
      </c>
      <c r="H34" s="261" t="s">
        <v>450</v>
      </c>
      <c r="I34" s="262">
        <v>120</v>
      </c>
      <c r="J34" s="263"/>
      <c r="K34" s="262">
        <v>120</v>
      </c>
      <c r="L34" s="260"/>
      <c r="M34" s="260">
        <v>2025</v>
      </c>
      <c r="N34" s="264"/>
      <c r="O34" s="259"/>
      <c r="P34" s="260" t="s">
        <v>498</v>
      </c>
      <c r="Q34" s="265" t="s">
        <v>476</v>
      </c>
      <c r="R34" s="266"/>
      <c r="S34" s="267"/>
    </row>
    <row r="35" spans="1:19" ht="209.25" x14ac:dyDescent="0.25">
      <c r="A35" s="95">
        <v>29</v>
      </c>
      <c r="B35" s="285"/>
      <c r="C35" s="258" t="s">
        <v>283</v>
      </c>
      <c r="D35" s="281" t="s">
        <v>477</v>
      </c>
      <c r="E35" s="265" t="s">
        <v>478</v>
      </c>
      <c r="F35" s="268"/>
      <c r="G35" s="268">
        <v>28</v>
      </c>
      <c r="H35" s="269" t="s">
        <v>479</v>
      </c>
      <c r="I35" s="270">
        <v>2050</v>
      </c>
      <c r="J35" s="268"/>
      <c r="K35" s="270">
        <v>2050</v>
      </c>
      <c r="L35" s="268"/>
      <c r="M35" s="268">
        <v>2025</v>
      </c>
      <c r="N35" s="268"/>
      <c r="O35" s="268"/>
      <c r="P35" s="271" t="s">
        <v>499</v>
      </c>
      <c r="Q35" s="265" t="s">
        <v>480</v>
      </c>
      <c r="R35" s="271" t="s">
        <v>500</v>
      </c>
      <c r="S35" s="268"/>
    </row>
    <row r="36" spans="1:19" ht="139.5" x14ac:dyDescent="0.25">
      <c r="A36" s="95">
        <v>30</v>
      </c>
      <c r="B36" s="285"/>
      <c r="C36" s="258" t="s">
        <v>148</v>
      </c>
      <c r="D36" s="282" t="s">
        <v>481</v>
      </c>
      <c r="E36" s="265" t="s">
        <v>482</v>
      </c>
      <c r="F36" s="268"/>
      <c r="G36" s="258">
        <v>21</v>
      </c>
      <c r="H36" s="271" t="s">
        <v>450</v>
      </c>
      <c r="I36" s="268">
        <v>200</v>
      </c>
      <c r="J36" s="268"/>
      <c r="K36" s="268">
        <v>200</v>
      </c>
      <c r="L36" s="268"/>
      <c r="M36" s="268">
        <v>2025</v>
      </c>
      <c r="N36" s="268"/>
      <c r="O36" s="268"/>
      <c r="P36" s="271" t="s">
        <v>501</v>
      </c>
      <c r="Q36" s="265" t="s">
        <v>483</v>
      </c>
      <c r="R36" s="268"/>
      <c r="S36" s="268"/>
    </row>
    <row r="37" spans="1:19" ht="69.75" x14ac:dyDescent="0.25">
      <c r="A37" s="95">
        <v>31</v>
      </c>
      <c r="B37" s="285"/>
      <c r="C37" s="258" t="s">
        <v>148</v>
      </c>
      <c r="D37" s="283" t="s">
        <v>484</v>
      </c>
      <c r="E37" s="265" t="s">
        <v>485</v>
      </c>
      <c r="F37" s="268"/>
      <c r="G37" s="258">
        <v>14</v>
      </c>
      <c r="H37" s="269" t="s">
        <v>486</v>
      </c>
      <c r="I37" s="268">
        <v>300</v>
      </c>
      <c r="J37" s="268"/>
      <c r="K37" s="268">
        <v>300</v>
      </c>
      <c r="L37" s="268"/>
      <c r="M37" s="268">
        <v>2025</v>
      </c>
      <c r="N37" s="268"/>
      <c r="O37" s="268"/>
      <c r="P37" s="269" t="s">
        <v>502</v>
      </c>
      <c r="Q37" s="269" t="s">
        <v>487</v>
      </c>
      <c r="R37" s="268"/>
      <c r="S37" s="268"/>
    </row>
    <row r="38" spans="1:19" ht="69.75" x14ac:dyDescent="0.25">
      <c r="A38" s="95">
        <v>32</v>
      </c>
      <c r="B38" s="285"/>
      <c r="C38" s="258" t="s">
        <v>151</v>
      </c>
      <c r="D38" s="283" t="s">
        <v>488</v>
      </c>
      <c r="E38" s="269" t="s">
        <v>489</v>
      </c>
      <c r="F38" s="268"/>
      <c r="G38" s="268">
        <v>13</v>
      </c>
      <c r="H38" s="271" t="s">
        <v>450</v>
      </c>
      <c r="I38" s="268">
        <v>450</v>
      </c>
      <c r="J38" s="268"/>
      <c r="K38" s="268">
        <v>450</v>
      </c>
      <c r="L38" s="268"/>
      <c r="M38" s="268">
        <v>2025</v>
      </c>
      <c r="N38" s="268"/>
      <c r="O38" s="268"/>
      <c r="P38" s="269" t="s">
        <v>503</v>
      </c>
      <c r="Q38" s="269" t="s">
        <v>490</v>
      </c>
      <c r="R38" s="268"/>
      <c r="S38" s="268"/>
    </row>
    <row r="39" spans="1:19" ht="46.5" x14ac:dyDescent="0.25">
      <c r="A39" s="95">
        <v>33</v>
      </c>
      <c r="B39" s="285"/>
      <c r="C39" s="258" t="s">
        <v>149</v>
      </c>
      <c r="D39" s="284" t="s">
        <v>496</v>
      </c>
      <c r="E39" s="272" t="s">
        <v>497</v>
      </c>
      <c r="F39" s="268"/>
      <c r="G39" s="268"/>
      <c r="H39" s="269" t="s">
        <v>450</v>
      </c>
      <c r="I39" s="268"/>
      <c r="J39" s="268"/>
      <c r="K39" s="268"/>
      <c r="L39" s="268"/>
      <c r="M39" s="268">
        <v>2026</v>
      </c>
      <c r="N39" s="268"/>
      <c r="O39" s="268"/>
      <c r="P39" s="268"/>
      <c r="Q39" s="268"/>
      <c r="R39" s="268"/>
      <c r="S39" s="268"/>
    </row>
  </sheetData>
  <mergeCells count="15">
    <mergeCell ref="F5:F6"/>
    <mergeCell ref="A5:A6"/>
    <mergeCell ref="B5:B6"/>
    <mergeCell ref="C5:C6"/>
    <mergeCell ref="D5:D6"/>
    <mergeCell ref="E5:E6"/>
    <mergeCell ref="Q5:Q6"/>
    <mergeCell ref="R5:R6"/>
    <mergeCell ref="S5:S6"/>
    <mergeCell ref="G5:G6"/>
    <mergeCell ref="I5:L5"/>
    <mergeCell ref="M5:M6"/>
    <mergeCell ref="N5:N6"/>
    <mergeCell ref="O5:O6"/>
    <mergeCell ref="P5:P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36"/>
  <sheetViews>
    <sheetView zoomScale="70" zoomScaleNormal="70" workbookViewId="0">
      <selection activeCell="F4" sqref="F4"/>
    </sheetView>
  </sheetViews>
  <sheetFormatPr defaultRowHeight="15" x14ac:dyDescent="0.25"/>
  <cols>
    <col min="1" max="1" width="12.7109375" customWidth="1"/>
    <col min="2" max="2" width="14.140625" customWidth="1"/>
    <col min="3" max="3" width="45.28515625" customWidth="1"/>
    <col min="4" max="4" width="43.7109375" customWidth="1"/>
    <col min="5" max="5" width="53.7109375" customWidth="1"/>
    <col min="6" max="6" width="28.85546875" customWidth="1"/>
    <col min="7" max="7" width="21.7109375" customWidth="1"/>
    <col min="8" max="8" width="19.28515625" customWidth="1"/>
    <col min="9" max="9" width="22.140625" customWidth="1"/>
    <col min="10" max="10" width="19.5703125" customWidth="1"/>
    <col min="11" max="11" width="16.5703125" customWidth="1"/>
    <col min="12" max="12" width="14.85546875" customWidth="1"/>
    <col min="13" max="13" width="17.7109375" customWidth="1"/>
    <col min="14" max="14" width="19" customWidth="1"/>
    <col min="15" max="15" width="17.140625" customWidth="1"/>
    <col min="16" max="16" width="41.7109375" customWidth="1"/>
    <col min="17" max="17" width="131.28515625" customWidth="1"/>
    <col min="18" max="18" width="25.7109375" customWidth="1"/>
    <col min="19" max="19" width="19.28515625" customWidth="1"/>
    <col min="20" max="20" width="20.140625" customWidth="1"/>
  </cols>
  <sheetData>
    <row r="2" spans="1:19" ht="23.25" x14ac:dyDescent="0.25">
      <c r="C2" s="84"/>
      <c r="D2" s="76" t="s">
        <v>385</v>
      </c>
      <c r="E2" s="85" t="s">
        <v>386</v>
      </c>
      <c r="F2" s="189" t="s">
        <v>293</v>
      </c>
    </row>
    <row r="3" spans="1:19" ht="23.25" x14ac:dyDescent="0.25">
      <c r="C3" s="90" t="s">
        <v>379</v>
      </c>
      <c r="D3" s="76">
        <v>28</v>
      </c>
      <c r="E3" s="88">
        <v>404318.03</v>
      </c>
      <c r="F3" s="89">
        <v>8284</v>
      </c>
    </row>
    <row r="7" spans="1:19" ht="51" customHeight="1" x14ac:dyDescent="0.25">
      <c r="A7" s="474" t="s">
        <v>0</v>
      </c>
      <c r="B7" s="474" t="s">
        <v>0</v>
      </c>
      <c r="C7" s="474" t="s">
        <v>289</v>
      </c>
      <c r="D7" s="474" t="s">
        <v>3</v>
      </c>
      <c r="E7" s="474" t="s">
        <v>2</v>
      </c>
      <c r="F7" s="475" t="s">
        <v>298</v>
      </c>
      <c r="G7" s="474" t="s">
        <v>537</v>
      </c>
      <c r="H7" s="278" t="s">
        <v>16</v>
      </c>
      <c r="I7" s="474" t="s">
        <v>93</v>
      </c>
      <c r="J7" s="474"/>
      <c r="K7" s="474"/>
      <c r="L7" s="474"/>
      <c r="M7" s="474" t="s">
        <v>232</v>
      </c>
      <c r="N7" s="474" t="s">
        <v>233</v>
      </c>
      <c r="O7" s="474" t="s">
        <v>13</v>
      </c>
      <c r="P7" s="474" t="s">
        <v>159</v>
      </c>
      <c r="Q7" s="474" t="s">
        <v>11</v>
      </c>
      <c r="R7" s="474" t="s">
        <v>169</v>
      </c>
      <c r="S7" s="474" t="s">
        <v>95</v>
      </c>
    </row>
    <row r="8" spans="1:19" ht="116.25" x14ac:dyDescent="0.25">
      <c r="A8" s="474"/>
      <c r="B8" s="474"/>
      <c r="C8" s="477"/>
      <c r="D8" s="474"/>
      <c r="E8" s="474"/>
      <c r="F8" s="476"/>
      <c r="G8" s="474"/>
      <c r="H8" s="278" t="s">
        <v>387</v>
      </c>
      <c r="I8" s="278" t="s">
        <v>137</v>
      </c>
      <c r="J8" s="278" t="s">
        <v>294</v>
      </c>
      <c r="K8" s="278" t="s">
        <v>156</v>
      </c>
      <c r="L8" s="279" t="s">
        <v>127</v>
      </c>
      <c r="M8" s="474"/>
      <c r="N8" s="474"/>
      <c r="O8" s="474"/>
      <c r="P8" s="474"/>
      <c r="Q8" s="474"/>
      <c r="R8" s="474"/>
      <c r="S8" s="474"/>
    </row>
    <row r="9" spans="1:19" ht="209.25" x14ac:dyDescent="0.25">
      <c r="A9" s="95">
        <v>1</v>
      </c>
      <c r="B9" s="96"/>
      <c r="C9" s="116" t="s">
        <v>147</v>
      </c>
      <c r="D9" s="117" t="s">
        <v>512</v>
      </c>
      <c r="E9" s="118" t="s">
        <v>88</v>
      </c>
      <c r="F9" s="118" t="s">
        <v>300</v>
      </c>
      <c r="G9" s="119">
        <v>35</v>
      </c>
      <c r="H9" s="119"/>
      <c r="I9" s="120">
        <v>600</v>
      </c>
      <c r="J9" s="120"/>
      <c r="K9" s="120">
        <v>600</v>
      </c>
      <c r="L9" s="121"/>
      <c r="M9" s="122" t="s">
        <v>104</v>
      </c>
      <c r="N9" s="122" t="s">
        <v>104</v>
      </c>
      <c r="O9" s="120">
        <v>707.6</v>
      </c>
      <c r="P9" s="123" t="s">
        <v>139</v>
      </c>
      <c r="Q9" s="124" t="s">
        <v>244</v>
      </c>
      <c r="R9" s="125" t="s">
        <v>234</v>
      </c>
      <c r="S9" s="118" t="s">
        <v>209</v>
      </c>
    </row>
    <row r="10" spans="1:19" ht="116.25" x14ac:dyDescent="0.25">
      <c r="A10" s="95">
        <v>2</v>
      </c>
      <c r="B10" s="96"/>
      <c r="C10" s="126" t="s">
        <v>147</v>
      </c>
      <c r="D10" s="127" t="s">
        <v>314</v>
      </c>
      <c r="E10" s="118" t="s">
        <v>330</v>
      </c>
      <c r="F10" s="277" t="s">
        <v>325</v>
      </c>
      <c r="G10" s="126">
        <v>13</v>
      </c>
      <c r="H10" s="126"/>
      <c r="I10" s="128">
        <v>869.1</v>
      </c>
      <c r="J10" s="128"/>
      <c r="K10" s="128">
        <v>869.1</v>
      </c>
      <c r="L10" s="128"/>
      <c r="M10" s="128">
        <v>2027</v>
      </c>
      <c r="N10" s="128"/>
      <c r="O10" s="128">
        <v>13</v>
      </c>
      <c r="P10" s="118"/>
      <c r="Q10" s="129" t="s">
        <v>346</v>
      </c>
      <c r="R10" s="118"/>
      <c r="S10" s="118" t="s">
        <v>305</v>
      </c>
    </row>
    <row r="11" spans="1:19" ht="162.75" x14ac:dyDescent="0.25">
      <c r="A11" s="95">
        <v>3</v>
      </c>
      <c r="B11" s="285"/>
      <c r="C11" s="116" t="s">
        <v>148</v>
      </c>
      <c r="D11" s="141" t="s">
        <v>513</v>
      </c>
      <c r="E11" s="118" t="s">
        <v>32</v>
      </c>
      <c r="F11" s="277" t="s">
        <v>300</v>
      </c>
      <c r="G11" s="119">
        <v>30</v>
      </c>
      <c r="H11" s="119"/>
      <c r="I11" s="120">
        <v>7200</v>
      </c>
      <c r="J11" s="120"/>
      <c r="K11" s="120">
        <v>7200</v>
      </c>
      <c r="L11" s="121"/>
      <c r="M11" s="122">
        <v>2026</v>
      </c>
      <c r="N11" s="122">
        <v>2026</v>
      </c>
      <c r="O11" s="120">
        <v>10</v>
      </c>
      <c r="P11" s="118" t="s">
        <v>141</v>
      </c>
      <c r="Q11" s="124" t="s">
        <v>245</v>
      </c>
      <c r="R11" s="125" t="s">
        <v>198</v>
      </c>
      <c r="S11" s="118"/>
    </row>
    <row r="12" spans="1:19" ht="409.5" x14ac:dyDescent="0.25">
      <c r="A12" s="95">
        <v>4</v>
      </c>
      <c r="B12" s="285"/>
      <c r="C12" s="116" t="s">
        <v>148</v>
      </c>
      <c r="D12" s="117" t="s">
        <v>520</v>
      </c>
      <c r="E12" s="118" t="s">
        <v>189</v>
      </c>
      <c r="F12" s="118" t="s">
        <v>300</v>
      </c>
      <c r="G12" s="119">
        <v>50</v>
      </c>
      <c r="H12" s="119"/>
      <c r="I12" s="120">
        <v>31840</v>
      </c>
      <c r="J12" s="120"/>
      <c r="K12" s="120">
        <v>31840</v>
      </c>
      <c r="L12" s="121">
        <v>2400</v>
      </c>
      <c r="M12" s="122" t="s">
        <v>103</v>
      </c>
      <c r="N12" s="122"/>
      <c r="O12" s="120">
        <v>84</v>
      </c>
      <c r="P12" s="118" t="s">
        <v>188</v>
      </c>
      <c r="Q12" s="124" t="s">
        <v>250</v>
      </c>
      <c r="R12" s="118" t="s">
        <v>202</v>
      </c>
      <c r="S12" s="118" t="s">
        <v>211</v>
      </c>
    </row>
    <row r="13" spans="1:19" ht="302.25" x14ac:dyDescent="0.25">
      <c r="A13" s="95">
        <v>5</v>
      </c>
      <c r="B13" s="285"/>
      <c r="C13" s="116" t="s">
        <v>148</v>
      </c>
      <c r="D13" s="117" t="s">
        <v>521</v>
      </c>
      <c r="E13" s="118" t="s">
        <v>178</v>
      </c>
      <c r="F13" s="277" t="s">
        <v>300</v>
      </c>
      <c r="G13" s="149">
        <v>51</v>
      </c>
      <c r="H13" s="149"/>
      <c r="I13" s="120">
        <v>7975.3329999999996</v>
      </c>
      <c r="J13" s="120"/>
      <c r="K13" s="120">
        <v>7975.3329999999996</v>
      </c>
      <c r="L13" s="121"/>
      <c r="M13" s="122" t="s">
        <v>236</v>
      </c>
      <c r="N13" s="122" t="s">
        <v>236</v>
      </c>
      <c r="O13" s="120">
        <v>9.6</v>
      </c>
      <c r="P13" s="118" t="s">
        <v>179</v>
      </c>
      <c r="Q13" s="124" t="s">
        <v>240</v>
      </c>
      <c r="R13" s="118" t="s">
        <v>207</v>
      </c>
      <c r="S13" s="118" t="s">
        <v>210</v>
      </c>
    </row>
    <row r="14" spans="1:19" ht="116.25" x14ac:dyDescent="0.25">
      <c r="A14" s="95">
        <v>6</v>
      </c>
      <c r="B14" s="285"/>
      <c r="C14" s="116" t="s">
        <v>148</v>
      </c>
      <c r="D14" s="117" t="s">
        <v>522</v>
      </c>
      <c r="E14" s="118" t="s">
        <v>111</v>
      </c>
      <c r="F14" s="277" t="s">
        <v>300</v>
      </c>
      <c r="G14" s="149">
        <v>20</v>
      </c>
      <c r="H14" s="149"/>
      <c r="I14" s="120">
        <v>1576.6</v>
      </c>
      <c r="J14" s="120"/>
      <c r="K14" s="120">
        <v>1576.6</v>
      </c>
      <c r="L14" s="121"/>
      <c r="M14" s="122" t="s">
        <v>104</v>
      </c>
      <c r="N14" s="122"/>
      <c r="O14" s="120">
        <v>4457.7</v>
      </c>
      <c r="P14" s="118" t="s">
        <v>143</v>
      </c>
      <c r="Q14" s="124" t="s">
        <v>239</v>
      </c>
      <c r="R14" s="118" t="s">
        <v>223</v>
      </c>
      <c r="S14" s="118" t="s">
        <v>211</v>
      </c>
    </row>
    <row r="15" spans="1:19" ht="93" x14ac:dyDescent="0.25">
      <c r="A15" s="95">
        <v>7</v>
      </c>
      <c r="B15" s="285"/>
      <c r="C15" s="126" t="s">
        <v>148</v>
      </c>
      <c r="D15" s="127" t="s">
        <v>310</v>
      </c>
      <c r="E15" s="118" t="s">
        <v>334</v>
      </c>
      <c r="F15" s="277" t="s">
        <v>325</v>
      </c>
      <c r="G15" s="126">
        <v>100</v>
      </c>
      <c r="H15" s="126"/>
      <c r="I15" s="128">
        <v>1500</v>
      </c>
      <c r="J15" s="128"/>
      <c r="K15" s="128">
        <v>1500</v>
      </c>
      <c r="L15" s="128"/>
      <c r="M15" s="128">
        <v>2029</v>
      </c>
      <c r="N15" s="128"/>
      <c r="O15" s="128">
        <v>4</v>
      </c>
      <c r="P15" s="182" t="s">
        <v>337</v>
      </c>
      <c r="Q15" s="182" t="s">
        <v>344</v>
      </c>
      <c r="R15" s="182" t="s">
        <v>338</v>
      </c>
      <c r="S15" s="118" t="s">
        <v>305</v>
      </c>
    </row>
    <row r="16" spans="1:19" ht="162.75" x14ac:dyDescent="0.25">
      <c r="A16" s="95">
        <v>8</v>
      </c>
      <c r="B16" s="285"/>
      <c r="C16" s="116" t="s">
        <v>151</v>
      </c>
      <c r="D16" s="117" t="s">
        <v>525</v>
      </c>
      <c r="E16" s="118" t="s">
        <v>191</v>
      </c>
      <c r="F16" s="277" t="s">
        <v>300</v>
      </c>
      <c r="G16" s="119">
        <v>20</v>
      </c>
      <c r="H16" s="183" t="s">
        <v>389</v>
      </c>
      <c r="I16" s="120">
        <v>750</v>
      </c>
      <c r="J16" s="120"/>
      <c r="K16" s="120">
        <v>1500</v>
      </c>
      <c r="L16" s="121"/>
      <c r="M16" s="122" t="s">
        <v>100</v>
      </c>
      <c r="N16" s="122"/>
      <c r="O16" s="120">
        <v>3080</v>
      </c>
      <c r="P16" s="118" t="s">
        <v>192</v>
      </c>
      <c r="Q16" s="184" t="s">
        <v>254</v>
      </c>
      <c r="R16" s="123" t="s">
        <v>171</v>
      </c>
      <c r="S16" s="118" t="s">
        <v>215</v>
      </c>
    </row>
    <row r="17" spans="1:19" ht="255.75" x14ac:dyDescent="0.25">
      <c r="A17" s="95">
        <v>9</v>
      </c>
      <c r="B17" s="285"/>
      <c r="C17" s="234" t="s">
        <v>151</v>
      </c>
      <c r="D17" s="118" t="s">
        <v>292</v>
      </c>
      <c r="E17" s="118" t="s">
        <v>264</v>
      </c>
      <c r="F17" s="118" t="s">
        <v>316</v>
      </c>
      <c r="G17" s="234">
        <v>18</v>
      </c>
      <c r="H17" s="234" t="s">
        <v>389</v>
      </c>
      <c r="I17" s="252"/>
      <c r="J17" s="252"/>
      <c r="K17" s="198">
        <v>2400</v>
      </c>
      <c r="L17" s="252">
        <v>1400</v>
      </c>
      <c r="M17" s="252"/>
      <c r="N17" s="252"/>
      <c r="O17" s="252"/>
      <c r="P17" s="253" t="s">
        <v>427</v>
      </c>
      <c r="Q17" s="254" t="s">
        <v>428</v>
      </c>
      <c r="R17" s="118" t="s">
        <v>265</v>
      </c>
      <c r="S17" s="118" t="s">
        <v>266</v>
      </c>
    </row>
    <row r="18" spans="1:19" ht="116.25" x14ac:dyDescent="0.25">
      <c r="A18" s="95">
        <v>10</v>
      </c>
      <c r="B18" s="285"/>
      <c r="C18" s="126" t="s">
        <v>442</v>
      </c>
      <c r="D18" s="127" t="s">
        <v>447</v>
      </c>
      <c r="E18" s="118" t="s">
        <v>443</v>
      </c>
      <c r="F18" s="118"/>
      <c r="G18" s="126">
        <v>6000</v>
      </c>
      <c r="H18" s="126" t="s">
        <v>444</v>
      </c>
      <c r="I18" s="118"/>
      <c r="J18" s="118"/>
      <c r="K18" s="198">
        <v>146300</v>
      </c>
      <c r="L18" s="118"/>
      <c r="M18" s="118" t="s">
        <v>98</v>
      </c>
      <c r="N18" s="118"/>
      <c r="O18" s="118"/>
      <c r="P18" s="251" t="s">
        <v>445</v>
      </c>
      <c r="Q18" s="118" t="s">
        <v>446</v>
      </c>
      <c r="R18" s="118"/>
      <c r="S18" s="118"/>
    </row>
    <row r="19" spans="1:19" ht="162.75" x14ac:dyDescent="0.25">
      <c r="A19" s="95">
        <v>11</v>
      </c>
      <c r="B19" s="285"/>
      <c r="C19" s="116" t="s">
        <v>149</v>
      </c>
      <c r="D19" s="141" t="s">
        <v>526</v>
      </c>
      <c r="E19" s="118" t="s">
        <v>36</v>
      </c>
      <c r="F19" s="277" t="s">
        <v>300</v>
      </c>
      <c r="G19" s="116">
        <v>60</v>
      </c>
      <c r="H19" s="116"/>
      <c r="I19" s="198">
        <v>550</v>
      </c>
      <c r="J19" s="198"/>
      <c r="K19" s="120">
        <v>550</v>
      </c>
      <c r="L19" s="199"/>
      <c r="M19" s="122" t="s">
        <v>99</v>
      </c>
      <c r="N19" s="122" t="s">
        <v>104</v>
      </c>
      <c r="O19" s="120">
        <v>6</v>
      </c>
      <c r="P19" s="118" t="s">
        <v>145</v>
      </c>
      <c r="Q19" s="124" t="s">
        <v>195</v>
      </c>
      <c r="R19" s="123" t="s">
        <v>184</v>
      </c>
      <c r="S19" s="118" t="s">
        <v>229</v>
      </c>
    </row>
    <row r="20" spans="1:19" ht="209.25" x14ac:dyDescent="0.25">
      <c r="A20" s="95">
        <v>12</v>
      </c>
      <c r="B20" s="285"/>
      <c r="C20" s="116" t="s">
        <v>149</v>
      </c>
      <c r="D20" s="117" t="s">
        <v>527</v>
      </c>
      <c r="E20" s="118" t="s">
        <v>60</v>
      </c>
      <c r="F20" s="277" t="s">
        <v>300</v>
      </c>
      <c r="G20" s="119">
        <v>30</v>
      </c>
      <c r="H20" s="116" t="s">
        <v>389</v>
      </c>
      <c r="I20" s="120">
        <v>5000</v>
      </c>
      <c r="J20" s="120"/>
      <c r="K20" s="120">
        <v>5000</v>
      </c>
      <c r="L20" s="121">
        <v>1500</v>
      </c>
      <c r="M20" s="122" t="s">
        <v>99</v>
      </c>
      <c r="N20" s="122"/>
      <c r="O20" s="120">
        <v>1700</v>
      </c>
      <c r="P20" s="118" t="s">
        <v>146</v>
      </c>
      <c r="Q20" s="124" t="s">
        <v>247</v>
      </c>
      <c r="R20" s="123" t="s">
        <v>206</v>
      </c>
      <c r="S20" s="118" t="s">
        <v>230</v>
      </c>
    </row>
    <row r="21" spans="1:19" ht="93" x14ac:dyDescent="0.25">
      <c r="A21" s="95">
        <v>13</v>
      </c>
      <c r="B21" s="285"/>
      <c r="C21" s="126" t="s">
        <v>149</v>
      </c>
      <c r="D21" s="127" t="s">
        <v>311</v>
      </c>
      <c r="E21" s="118" t="s">
        <v>333</v>
      </c>
      <c r="F21" s="277" t="s">
        <v>325</v>
      </c>
      <c r="G21" s="126">
        <v>100</v>
      </c>
      <c r="H21" s="126"/>
      <c r="I21" s="128">
        <v>650</v>
      </c>
      <c r="J21" s="128"/>
      <c r="K21" s="128">
        <v>650</v>
      </c>
      <c r="L21" s="128"/>
      <c r="M21" s="128">
        <v>2027</v>
      </c>
      <c r="N21" s="128"/>
      <c r="O21" s="128">
        <v>282</v>
      </c>
      <c r="P21" s="182" t="s">
        <v>339</v>
      </c>
      <c r="Q21" s="200" t="s">
        <v>345</v>
      </c>
      <c r="R21" s="118"/>
      <c r="S21" s="118" t="s">
        <v>305</v>
      </c>
    </row>
    <row r="22" spans="1:19" ht="93" x14ac:dyDescent="0.25">
      <c r="A22" s="95">
        <v>14</v>
      </c>
      <c r="B22" s="285"/>
      <c r="C22" s="126" t="s">
        <v>149</v>
      </c>
      <c r="D22" s="127" t="s">
        <v>313</v>
      </c>
      <c r="E22" s="182" t="s">
        <v>332</v>
      </c>
      <c r="F22" s="277" t="s">
        <v>325</v>
      </c>
      <c r="G22" s="126">
        <v>18</v>
      </c>
      <c r="H22" s="126"/>
      <c r="I22" s="128">
        <v>700</v>
      </c>
      <c r="J22" s="128"/>
      <c r="K22" s="128">
        <v>700</v>
      </c>
      <c r="L22" s="128"/>
      <c r="M22" s="128">
        <v>2028</v>
      </c>
      <c r="N22" s="128"/>
      <c r="O22" s="128">
        <v>390.2</v>
      </c>
      <c r="P22" s="118" t="s">
        <v>340</v>
      </c>
      <c r="Q22" s="200" t="s">
        <v>341</v>
      </c>
      <c r="R22" s="118"/>
      <c r="S22" s="118"/>
    </row>
    <row r="23" spans="1:19" ht="162.75" x14ac:dyDescent="0.25">
      <c r="A23" s="95">
        <v>15</v>
      </c>
      <c r="B23" s="285"/>
      <c r="C23" s="126" t="s">
        <v>149</v>
      </c>
      <c r="D23" s="127" t="s">
        <v>312</v>
      </c>
      <c r="E23" s="182" t="s">
        <v>331</v>
      </c>
      <c r="F23" s="277" t="s">
        <v>325</v>
      </c>
      <c r="G23" s="126">
        <v>27</v>
      </c>
      <c r="H23" s="126"/>
      <c r="I23" s="128">
        <v>670</v>
      </c>
      <c r="J23" s="128"/>
      <c r="K23" s="128">
        <v>670</v>
      </c>
      <c r="L23" s="128"/>
      <c r="M23" s="128">
        <v>2027</v>
      </c>
      <c r="N23" s="128"/>
      <c r="O23" s="128">
        <v>3.2</v>
      </c>
      <c r="P23" s="182" t="s">
        <v>342</v>
      </c>
      <c r="Q23" s="200" t="s">
        <v>343</v>
      </c>
      <c r="R23" s="118"/>
      <c r="S23" s="118" t="s">
        <v>305</v>
      </c>
    </row>
    <row r="24" spans="1:19" ht="232.5" x14ac:dyDescent="0.25">
      <c r="A24" s="95">
        <v>16</v>
      </c>
      <c r="B24" s="285"/>
      <c r="C24" s="116" t="s">
        <v>150</v>
      </c>
      <c r="D24" s="117" t="s">
        <v>528</v>
      </c>
      <c r="E24" s="118" t="s">
        <v>74</v>
      </c>
      <c r="F24" s="118"/>
      <c r="G24" s="119">
        <v>250</v>
      </c>
      <c r="H24" s="119"/>
      <c r="I24" s="120">
        <v>15800</v>
      </c>
      <c r="J24" s="120"/>
      <c r="K24" s="120">
        <v>15800</v>
      </c>
      <c r="L24" s="120">
        <v>5000</v>
      </c>
      <c r="M24" s="122" t="s">
        <v>99</v>
      </c>
      <c r="N24" s="122" t="s">
        <v>104</v>
      </c>
      <c r="O24" s="120">
        <v>10</v>
      </c>
      <c r="P24" s="123" t="s">
        <v>140</v>
      </c>
      <c r="Q24" s="124" t="s">
        <v>439</v>
      </c>
      <c r="R24" s="123" t="s">
        <v>205</v>
      </c>
      <c r="S24" s="118" t="s">
        <v>214</v>
      </c>
    </row>
    <row r="25" spans="1:19" ht="209.25" x14ac:dyDescent="0.25">
      <c r="A25" s="95">
        <v>17</v>
      </c>
      <c r="B25" s="285"/>
      <c r="C25" s="126" t="s">
        <v>152</v>
      </c>
      <c r="D25" s="127" t="s">
        <v>458</v>
      </c>
      <c r="E25" s="118" t="s">
        <v>459</v>
      </c>
      <c r="F25" s="118"/>
      <c r="G25" s="126">
        <v>400</v>
      </c>
      <c r="H25" s="126" t="s">
        <v>460</v>
      </c>
      <c r="I25" s="118"/>
      <c r="J25" s="198">
        <v>17300</v>
      </c>
      <c r="K25" s="118"/>
      <c r="L25" s="198">
        <v>13408.8</v>
      </c>
      <c r="M25" s="118" t="s">
        <v>473</v>
      </c>
      <c r="N25" s="118"/>
      <c r="O25" s="198">
        <v>8</v>
      </c>
      <c r="P25" s="118" t="s">
        <v>462</v>
      </c>
      <c r="Q25" s="118" t="s">
        <v>461</v>
      </c>
      <c r="R25" s="118"/>
      <c r="S25" s="118"/>
    </row>
    <row r="26" spans="1:19" ht="162.75" x14ac:dyDescent="0.25">
      <c r="A26" s="95">
        <v>18</v>
      </c>
      <c r="B26" s="285"/>
      <c r="C26" s="116" t="s">
        <v>153</v>
      </c>
      <c r="D26" s="141" t="s">
        <v>530</v>
      </c>
      <c r="E26" s="118" t="s">
        <v>531</v>
      </c>
      <c r="F26" s="277" t="s">
        <v>300</v>
      </c>
      <c r="G26" s="149">
        <v>50</v>
      </c>
      <c r="H26" s="149"/>
      <c r="I26" s="120">
        <v>1000</v>
      </c>
      <c r="J26" s="120"/>
      <c r="K26" s="120">
        <v>1000</v>
      </c>
      <c r="L26" s="121"/>
      <c r="M26" s="122" t="s">
        <v>241</v>
      </c>
      <c r="N26" s="122" t="s">
        <v>241</v>
      </c>
      <c r="O26" s="120">
        <v>1500</v>
      </c>
      <c r="P26" s="118" t="s">
        <v>180</v>
      </c>
      <c r="Q26" s="124" t="s">
        <v>357</v>
      </c>
      <c r="R26" s="207" t="s">
        <v>176</v>
      </c>
      <c r="S26" s="118" t="s">
        <v>221</v>
      </c>
    </row>
    <row r="27" spans="1:19" ht="93" x14ac:dyDescent="0.25">
      <c r="A27" s="95">
        <v>19</v>
      </c>
      <c r="B27" s="285"/>
      <c r="C27" s="126" t="s">
        <v>153</v>
      </c>
      <c r="D27" s="127" t="s">
        <v>307</v>
      </c>
      <c r="E27" s="118" t="s">
        <v>320</v>
      </c>
      <c r="F27" s="277" t="s">
        <v>300</v>
      </c>
      <c r="G27" s="126">
        <v>60</v>
      </c>
      <c r="H27" s="126"/>
      <c r="I27" s="128">
        <v>18200</v>
      </c>
      <c r="J27" s="128"/>
      <c r="K27" s="128">
        <v>18200</v>
      </c>
      <c r="L27" s="128"/>
      <c r="M27" s="128" t="s">
        <v>100</v>
      </c>
      <c r="N27" s="128"/>
      <c r="O27" s="128">
        <v>100</v>
      </c>
      <c r="P27" s="182" t="s">
        <v>321</v>
      </c>
      <c r="Q27" s="129" t="s">
        <v>322</v>
      </c>
      <c r="R27" s="118"/>
      <c r="S27" s="118"/>
    </row>
    <row r="28" spans="1:19" ht="93" x14ac:dyDescent="0.25">
      <c r="A28" s="95">
        <v>20</v>
      </c>
      <c r="B28" s="285"/>
      <c r="C28" s="126" t="s">
        <v>153</v>
      </c>
      <c r="D28" s="127" t="s">
        <v>308</v>
      </c>
      <c r="E28" s="118" t="s">
        <v>323</v>
      </c>
      <c r="F28" s="277" t="s">
        <v>325</v>
      </c>
      <c r="G28" s="126">
        <v>70</v>
      </c>
      <c r="H28" s="126"/>
      <c r="I28" s="128">
        <v>3600</v>
      </c>
      <c r="J28" s="128"/>
      <c r="K28" s="128">
        <v>3600</v>
      </c>
      <c r="L28" s="128"/>
      <c r="M28" s="128" t="s">
        <v>98</v>
      </c>
      <c r="N28" s="128"/>
      <c r="O28" s="128">
        <v>100</v>
      </c>
      <c r="P28" s="182" t="s">
        <v>327</v>
      </c>
      <c r="Q28" s="200" t="s">
        <v>328</v>
      </c>
      <c r="R28" s="118" t="s">
        <v>326</v>
      </c>
      <c r="S28" s="118" t="s">
        <v>305</v>
      </c>
    </row>
    <row r="29" spans="1:19" ht="116.25" x14ac:dyDescent="0.25">
      <c r="A29" s="95">
        <v>21</v>
      </c>
      <c r="B29" s="285"/>
      <c r="C29" s="126" t="s">
        <v>153</v>
      </c>
      <c r="D29" s="127" t="s">
        <v>309</v>
      </c>
      <c r="E29" s="118" t="s">
        <v>335</v>
      </c>
      <c r="F29" s="277" t="s">
        <v>325</v>
      </c>
      <c r="G29" s="126">
        <v>35</v>
      </c>
      <c r="H29" s="126"/>
      <c r="I29" s="128">
        <v>8500</v>
      </c>
      <c r="J29" s="128"/>
      <c r="K29" s="128">
        <v>8500</v>
      </c>
      <c r="L29" s="128"/>
      <c r="M29" s="128" t="s">
        <v>437</v>
      </c>
      <c r="N29" s="128"/>
      <c r="O29" s="128">
        <v>5000</v>
      </c>
      <c r="P29" s="182" t="s">
        <v>336</v>
      </c>
      <c r="Q29" s="200" t="s">
        <v>328</v>
      </c>
      <c r="R29" s="118" t="s">
        <v>326</v>
      </c>
      <c r="S29" s="118" t="s">
        <v>305</v>
      </c>
    </row>
    <row r="30" spans="1:19" ht="162.75" x14ac:dyDescent="0.25">
      <c r="A30" s="95">
        <v>22</v>
      </c>
      <c r="B30" s="285"/>
      <c r="C30" s="126" t="s">
        <v>153</v>
      </c>
      <c r="D30" s="215" t="s">
        <v>377</v>
      </c>
      <c r="E30" s="118" t="s">
        <v>380</v>
      </c>
      <c r="F30" s="118"/>
      <c r="G30" s="126">
        <v>140</v>
      </c>
      <c r="H30" s="126"/>
      <c r="I30" s="128">
        <v>24477</v>
      </c>
      <c r="J30" s="128"/>
      <c r="K30" s="128">
        <v>24477</v>
      </c>
      <c r="L30" s="128"/>
      <c r="M30" s="128" t="s">
        <v>98</v>
      </c>
      <c r="N30" s="128"/>
      <c r="O30" s="128">
        <v>542</v>
      </c>
      <c r="P30" s="182"/>
      <c r="Q30" s="200" t="s">
        <v>440</v>
      </c>
      <c r="R30" s="118"/>
      <c r="S30" s="118"/>
    </row>
    <row r="31" spans="1:19" ht="139.5" x14ac:dyDescent="0.25">
      <c r="A31" s="95">
        <v>23</v>
      </c>
      <c r="B31" s="285"/>
      <c r="C31" s="116" t="s">
        <v>154</v>
      </c>
      <c r="D31" s="117" t="s">
        <v>534</v>
      </c>
      <c r="E31" s="118" t="s">
        <v>84</v>
      </c>
      <c r="F31" s="277" t="s">
        <v>300</v>
      </c>
      <c r="G31" s="119">
        <v>158</v>
      </c>
      <c r="H31" s="119"/>
      <c r="I31" s="120">
        <v>2110</v>
      </c>
      <c r="J31" s="120"/>
      <c r="K31" s="120">
        <v>2110</v>
      </c>
      <c r="L31" s="121"/>
      <c r="M31" s="122" t="s">
        <v>100</v>
      </c>
      <c r="N31" s="122"/>
      <c r="O31" s="120">
        <v>20</v>
      </c>
      <c r="P31" s="123" t="s">
        <v>167</v>
      </c>
      <c r="Q31" s="124" t="s">
        <v>248</v>
      </c>
      <c r="R31" s="123" t="s">
        <v>175</v>
      </c>
      <c r="S31" s="118" t="s">
        <v>226</v>
      </c>
    </row>
    <row r="32" spans="1:19" ht="69.75" x14ac:dyDescent="0.25">
      <c r="A32" s="95">
        <v>24</v>
      </c>
      <c r="B32" s="285"/>
      <c r="C32" s="116" t="s">
        <v>154</v>
      </c>
      <c r="D32" s="232" t="s">
        <v>467</v>
      </c>
      <c r="E32" s="233" t="s">
        <v>468</v>
      </c>
      <c r="F32" s="234"/>
      <c r="G32" s="116">
        <v>19</v>
      </c>
      <c r="H32" s="116"/>
      <c r="I32" s="198">
        <v>1200</v>
      </c>
      <c r="J32" s="198"/>
      <c r="K32" s="198">
        <v>1200</v>
      </c>
      <c r="L32" s="198"/>
      <c r="M32" s="198"/>
      <c r="N32" s="198"/>
      <c r="O32" s="198">
        <v>900</v>
      </c>
      <c r="P32" s="233" t="s">
        <v>470</v>
      </c>
      <c r="Q32" s="234"/>
      <c r="R32" s="118" t="s">
        <v>469</v>
      </c>
      <c r="S32" s="234"/>
    </row>
    <row r="33" spans="1:19" ht="69.75" x14ac:dyDescent="0.25">
      <c r="A33" s="95">
        <v>25</v>
      </c>
      <c r="B33" s="285"/>
      <c r="C33" s="116" t="s">
        <v>154</v>
      </c>
      <c r="D33" s="117" t="s">
        <v>301</v>
      </c>
      <c r="E33" s="118" t="s">
        <v>302</v>
      </c>
      <c r="F33" s="277" t="s">
        <v>300</v>
      </c>
      <c r="G33" s="119">
        <v>100</v>
      </c>
      <c r="H33" s="119"/>
      <c r="I33" s="120">
        <v>2400</v>
      </c>
      <c r="J33" s="120"/>
      <c r="K33" s="120">
        <v>2400</v>
      </c>
      <c r="L33" s="121"/>
      <c r="M33" s="122">
        <v>2028</v>
      </c>
      <c r="N33" s="122"/>
      <c r="O33" s="120">
        <v>109</v>
      </c>
      <c r="P33" s="123" t="s">
        <v>303</v>
      </c>
      <c r="Q33" s="124" t="s">
        <v>304</v>
      </c>
      <c r="R33" s="123"/>
      <c r="S33" s="118" t="s">
        <v>305</v>
      </c>
    </row>
    <row r="34" spans="1:19" ht="162.75" x14ac:dyDescent="0.25">
      <c r="A34" s="95">
        <v>26</v>
      </c>
      <c r="B34" s="285"/>
      <c r="C34" s="116" t="s">
        <v>155</v>
      </c>
      <c r="D34" s="127" t="s">
        <v>290</v>
      </c>
      <c r="E34" s="118" t="s">
        <v>158</v>
      </c>
      <c r="F34" s="277" t="s">
        <v>300</v>
      </c>
      <c r="G34" s="236">
        <v>100</v>
      </c>
      <c r="H34" s="236"/>
      <c r="I34" s="122">
        <v>18700</v>
      </c>
      <c r="J34" s="122"/>
      <c r="K34" s="122">
        <v>18700</v>
      </c>
      <c r="L34" s="237">
        <v>15000</v>
      </c>
      <c r="M34" s="122" t="s">
        <v>98</v>
      </c>
      <c r="N34" s="122"/>
      <c r="O34" s="122">
        <v>1300</v>
      </c>
      <c r="P34" s="118" t="s">
        <v>160</v>
      </c>
      <c r="Q34" s="124" t="s">
        <v>194</v>
      </c>
      <c r="R34" s="238" t="s">
        <v>172</v>
      </c>
      <c r="S34" s="118" t="s">
        <v>219</v>
      </c>
    </row>
    <row r="35" spans="1:19" ht="209.25" x14ac:dyDescent="0.25">
      <c r="A35" s="95">
        <v>27</v>
      </c>
      <c r="B35" s="285"/>
      <c r="C35" s="116" t="s">
        <v>155</v>
      </c>
      <c r="D35" s="127" t="s">
        <v>96</v>
      </c>
      <c r="E35" s="118" t="s">
        <v>24</v>
      </c>
      <c r="F35" s="277" t="s">
        <v>300</v>
      </c>
      <c r="G35" s="242">
        <v>300</v>
      </c>
      <c r="H35" s="242"/>
      <c r="I35" s="122">
        <v>81000</v>
      </c>
      <c r="J35" s="122"/>
      <c r="K35" s="120">
        <v>81000</v>
      </c>
      <c r="L35" s="237">
        <v>71000</v>
      </c>
      <c r="M35" s="122" t="s">
        <v>99</v>
      </c>
      <c r="N35" s="122" t="s">
        <v>99</v>
      </c>
      <c r="O35" s="120">
        <v>26.47</v>
      </c>
      <c r="P35" s="243" t="s">
        <v>165</v>
      </c>
      <c r="Q35" s="118" t="s">
        <v>19</v>
      </c>
      <c r="R35" s="243" t="s">
        <v>173</v>
      </c>
      <c r="S35" s="118" t="s">
        <v>218</v>
      </c>
    </row>
    <row r="36" spans="1:19" ht="116.25" x14ac:dyDescent="0.25">
      <c r="A36" s="95">
        <v>28</v>
      </c>
      <c r="B36" s="285"/>
      <c r="C36" s="126" t="s">
        <v>258</v>
      </c>
      <c r="D36" s="127" t="s">
        <v>315</v>
      </c>
      <c r="E36" s="182" t="s">
        <v>329</v>
      </c>
      <c r="F36" s="277" t="s">
        <v>325</v>
      </c>
      <c r="G36" s="126">
        <v>30</v>
      </c>
      <c r="H36" s="126"/>
      <c r="I36" s="128">
        <v>700</v>
      </c>
      <c r="J36" s="128"/>
      <c r="K36" s="128">
        <v>700</v>
      </c>
      <c r="L36" s="128"/>
      <c r="M36" s="128" t="s">
        <v>104</v>
      </c>
      <c r="N36" s="128"/>
      <c r="O36" s="128">
        <v>13</v>
      </c>
      <c r="P36" s="182" t="s">
        <v>347</v>
      </c>
      <c r="Q36" s="182" t="s">
        <v>348</v>
      </c>
      <c r="R36" s="118" t="s">
        <v>355</v>
      </c>
      <c r="S36" s="118" t="s">
        <v>356</v>
      </c>
    </row>
  </sheetData>
  <mergeCells count="15">
    <mergeCell ref="F7:F8"/>
    <mergeCell ref="A7:A8"/>
    <mergeCell ref="B7:B8"/>
    <mergeCell ref="C7:C8"/>
    <mergeCell ref="D7:D8"/>
    <mergeCell ref="E7:E8"/>
    <mergeCell ref="Q7:Q8"/>
    <mergeCell ref="R7:R8"/>
    <mergeCell ref="S7:S8"/>
    <mergeCell ref="G7:G8"/>
    <mergeCell ref="I7:L7"/>
    <mergeCell ref="M7:M8"/>
    <mergeCell ref="N7:N8"/>
    <mergeCell ref="O7:O8"/>
    <mergeCell ref="P7:P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9"/>
  <sheetViews>
    <sheetView zoomScale="70" zoomScaleNormal="70" workbookViewId="0">
      <selection activeCell="C3" sqref="C3"/>
    </sheetView>
  </sheetViews>
  <sheetFormatPr defaultRowHeight="15" x14ac:dyDescent="0.25"/>
  <cols>
    <col min="3" max="3" width="34.42578125" customWidth="1"/>
    <col min="4" max="4" width="42.5703125" customWidth="1"/>
    <col min="5" max="5" width="38.140625" customWidth="1"/>
    <col min="6" max="6" width="25.5703125" customWidth="1"/>
    <col min="7" max="7" width="22.140625" customWidth="1"/>
    <col min="8" max="8" width="27.28515625" customWidth="1"/>
    <col min="9" max="9" width="28.85546875" customWidth="1"/>
    <col min="10" max="10" width="33.140625" customWidth="1"/>
    <col min="11" max="11" width="26.7109375" customWidth="1"/>
    <col min="12" max="12" width="27.28515625" customWidth="1"/>
    <col min="13" max="13" width="22.7109375" customWidth="1"/>
    <col min="14" max="14" width="20" customWidth="1"/>
    <col min="15" max="15" width="19.5703125" customWidth="1"/>
    <col min="16" max="16" width="28.140625" customWidth="1"/>
    <col min="17" max="17" width="136.7109375" customWidth="1"/>
    <col min="18" max="18" width="24.85546875" customWidth="1"/>
    <col min="19" max="19" width="27" customWidth="1"/>
  </cols>
  <sheetData>
    <row r="2" spans="1:19" ht="23.25" x14ac:dyDescent="0.25">
      <c r="C2" s="84"/>
      <c r="D2" s="76" t="s">
        <v>385</v>
      </c>
      <c r="E2" s="85" t="s">
        <v>386</v>
      </c>
      <c r="F2" s="189" t="s">
        <v>293</v>
      </c>
    </row>
    <row r="3" spans="1:19" ht="23.25" x14ac:dyDescent="0.25">
      <c r="C3" s="92" t="s">
        <v>381</v>
      </c>
      <c r="D3" s="76">
        <v>2</v>
      </c>
      <c r="E3" s="88">
        <v>3972.2</v>
      </c>
      <c r="F3" s="89">
        <v>60</v>
      </c>
    </row>
    <row r="6" spans="1:19" ht="46.5" x14ac:dyDescent="0.25">
      <c r="A6" s="474" t="s">
        <v>0</v>
      </c>
      <c r="B6" s="474" t="s">
        <v>0</v>
      </c>
      <c r="C6" s="474" t="s">
        <v>289</v>
      </c>
      <c r="D6" s="474" t="s">
        <v>3</v>
      </c>
      <c r="E6" s="474" t="s">
        <v>2</v>
      </c>
      <c r="F6" s="475" t="s">
        <v>298</v>
      </c>
      <c r="G6" s="474" t="s">
        <v>537</v>
      </c>
      <c r="H6" s="278" t="s">
        <v>16</v>
      </c>
      <c r="I6" s="474" t="s">
        <v>93</v>
      </c>
      <c r="J6" s="474"/>
      <c r="K6" s="474"/>
      <c r="L6" s="474"/>
      <c r="M6" s="474" t="s">
        <v>232</v>
      </c>
      <c r="N6" s="474" t="s">
        <v>233</v>
      </c>
      <c r="O6" s="474" t="s">
        <v>13</v>
      </c>
      <c r="P6" s="474" t="s">
        <v>159</v>
      </c>
      <c r="Q6" s="474" t="s">
        <v>11</v>
      </c>
      <c r="R6" s="474" t="s">
        <v>169</v>
      </c>
      <c r="S6" s="474" t="s">
        <v>95</v>
      </c>
    </row>
    <row r="7" spans="1:19" ht="93" x14ac:dyDescent="0.25">
      <c r="A7" s="474"/>
      <c r="B7" s="474"/>
      <c r="C7" s="477"/>
      <c r="D7" s="474"/>
      <c r="E7" s="474"/>
      <c r="F7" s="476"/>
      <c r="G7" s="474"/>
      <c r="H7" s="278" t="s">
        <v>387</v>
      </c>
      <c r="I7" s="278" t="s">
        <v>137</v>
      </c>
      <c r="J7" s="278" t="s">
        <v>294</v>
      </c>
      <c r="K7" s="278" t="s">
        <v>156</v>
      </c>
      <c r="L7" s="279" t="s">
        <v>127</v>
      </c>
      <c r="M7" s="474"/>
      <c r="N7" s="474"/>
      <c r="O7" s="474"/>
      <c r="P7" s="474"/>
      <c r="Q7" s="474"/>
      <c r="R7" s="474"/>
      <c r="S7" s="474"/>
    </row>
    <row r="8" spans="1:19" ht="139.5" x14ac:dyDescent="0.25">
      <c r="A8" s="95">
        <v>1</v>
      </c>
      <c r="B8" s="96"/>
      <c r="C8" s="191" t="s">
        <v>151</v>
      </c>
      <c r="D8" s="159" t="s">
        <v>287</v>
      </c>
      <c r="E8" s="159" t="s">
        <v>402</v>
      </c>
      <c r="F8" s="159" t="s">
        <v>316</v>
      </c>
      <c r="G8" s="192"/>
      <c r="H8" s="192" t="s">
        <v>389</v>
      </c>
      <c r="I8" s="193"/>
      <c r="J8" s="193"/>
      <c r="K8" s="194">
        <v>1472.2</v>
      </c>
      <c r="L8" s="194">
        <v>1472.2</v>
      </c>
      <c r="M8" s="195"/>
      <c r="N8" s="195"/>
      <c r="O8" s="193"/>
      <c r="P8" s="159" t="s">
        <v>433</v>
      </c>
      <c r="Q8" s="196" t="s">
        <v>466</v>
      </c>
      <c r="R8" s="197" t="s">
        <v>288</v>
      </c>
      <c r="S8" s="159"/>
    </row>
    <row r="9" spans="1:19" ht="162.75" x14ac:dyDescent="0.25">
      <c r="A9" s="95">
        <v>2</v>
      </c>
      <c r="B9" s="96"/>
      <c r="C9" s="191" t="s">
        <v>150</v>
      </c>
      <c r="D9" s="201" t="s">
        <v>369</v>
      </c>
      <c r="E9" s="159" t="s">
        <v>370</v>
      </c>
      <c r="F9" s="133"/>
      <c r="G9" s="202">
        <v>60</v>
      </c>
      <c r="H9" s="202" t="s">
        <v>389</v>
      </c>
      <c r="I9" s="193"/>
      <c r="J9" s="193"/>
      <c r="K9" s="203">
        <v>2500</v>
      </c>
      <c r="L9" s="203">
        <v>2500</v>
      </c>
      <c r="M9" s="195"/>
      <c r="N9" s="193"/>
      <c r="O9" s="204"/>
      <c r="P9" s="159" t="s">
        <v>371</v>
      </c>
      <c r="Q9" s="205" t="s">
        <v>372</v>
      </c>
      <c r="R9" s="206" t="s">
        <v>373</v>
      </c>
      <c r="S9" s="159" t="s">
        <v>368</v>
      </c>
    </row>
  </sheetData>
  <mergeCells count="15">
    <mergeCell ref="F6:F7"/>
    <mergeCell ref="A6:A7"/>
    <mergeCell ref="B6:B7"/>
    <mergeCell ref="C6:C7"/>
    <mergeCell ref="D6:D7"/>
    <mergeCell ref="E6:E7"/>
    <mergeCell ref="Q6:Q7"/>
    <mergeCell ref="R6:R7"/>
    <mergeCell ref="S6:S7"/>
    <mergeCell ref="G6:G7"/>
    <mergeCell ref="I6:L6"/>
    <mergeCell ref="M6:M7"/>
    <mergeCell ref="N6:N7"/>
    <mergeCell ref="O6:O7"/>
    <mergeCell ref="P6:P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21"/>
  <sheetViews>
    <sheetView zoomScale="70" zoomScaleNormal="70" workbookViewId="0">
      <selection activeCell="E4" sqref="E4"/>
    </sheetView>
  </sheetViews>
  <sheetFormatPr defaultRowHeight="15" x14ac:dyDescent="0.25"/>
  <cols>
    <col min="1" max="1" width="11.5703125" customWidth="1"/>
    <col min="2" max="2" width="11.28515625" customWidth="1"/>
    <col min="3" max="3" width="42.140625" customWidth="1"/>
    <col min="4" max="4" width="32.28515625" customWidth="1"/>
    <col min="5" max="5" width="28.28515625" customWidth="1"/>
    <col min="6" max="6" width="26.7109375" customWidth="1"/>
    <col min="7" max="7" width="24.7109375" customWidth="1"/>
    <col min="8" max="8" width="23.28515625" customWidth="1"/>
    <col min="9" max="9" width="29.28515625" customWidth="1"/>
    <col min="10" max="10" width="24.42578125" customWidth="1"/>
    <col min="11" max="11" width="19.7109375" customWidth="1"/>
    <col min="12" max="12" width="23.7109375" customWidth="1"/>
    <col min="13" max="13" width="22.5703125" customWidth="1"/>
    <col min="14" max="14" width="23.28515625" customWidth="1"/>
    <col min="15" max="15" width="26.28515625" customWidth="1"/>
    <col min="16" max="16" width="25.28515625" customWidth="1"/>
    <col min="17" max="17" width="127.85546875" customWidth="1"/>
    <col min="18" max="18" width="45.7109375" customWidth="1"/>
    <col min="19" max="19" width="25.28515625" customWidth="1"/>
  </cols>
  <sheetData>
    <row r="2" spans="1:19" ht="23.25" x14ac:dyDescent="0.25">
      <c r="C2" s="84"/>
      <c r="D2" s="76" t="s">
        <v>385</v>
      </c>
      <c r="E2" s="85" t="s">
        <v>386</v>
      </c>
      <c r="F2" s="189" t="s">
        <v>293</v>
      </c>
    </row>
    <row r="3" spans="1:19" ht="23.25" x14ac:dyDescent="0.25">
      <c r="C3" s="93" t="s">
        <v>472</v>
      </c>
      <c r="D3" s="76">
        <v>14</v>
      </c>
      <c r="E3" s="88">
        <v>190415</v>
      </c>
      <c r="F3" s="89">
        <v>1079</v>
      </c>
    </row>
    <row r="6" spans="1:19" ht="46.5" x14ac:dyDescent="0.25">
      <c r="A6" s="474" t="s">
        <v>0</v>
      </c>
      <c r="B6" s="474" t="s">
        <v>0</v>
      </c>
      <c r="C6" s="474" t="s">
        <v>289</v>
      </c>
      <c r="D6" s="474" t="s">
        <v>3</v>
      </c>
      <c r="E6" s="474" t="s">
        <v>2</v>
      </c>
      <c r="F6" s="475" t="s">
        <v>298</v>
      </c>
      <c r="G6" s="474" t="s">
        <v>537</v>
      </c>
      <c r="H6" s="278" t="s">
        <v>16</v>
      </c>
      <c r="I6" s="474" t="s">
        <v>93</v>
      </c>
      <c r="J6" s="474"/>
      <c r="K6" s="474"/>
      <c r="L6" s="474"/>
      <c r="M6" s="474" t="s">
        <v>232</v>
      </c>
      <c r="N6" s="474" t="s">
        <v>233</v>
      </c>
      <c r="O6" s="474" t="s">
        <v>13</v>
      </c>
      <c r="P6" s="474" t="s">
        <v>159</v>
      </c>
      <c r="Q6" s="474" t="s">
        <v>11</v>
      </c>
      <c r="R6" s="474" t="s">
        <v>169</v>
      </c>
      <c r="S6" s="474" t="s">
        <v>95</v>
      </c>
    </row>
    <row r="7" spans="1:19" ht="116.25" x14ac:dyDescent="0.25">
      <c r="A7" s="474"/>
      <c r="B7" s="474"/>
      <c r="C7" s="477"/>
      <c r="D7" s="474"/>
      <c r="E7" s="474"/>
      <c r="F7" s="476"/>
      <c r="G7" s="474"/>
      <c r="H7" s="278" t="s">
        <v>387</v>
      </c>
      <c r="I7" s="278" t="s">
        <v>137</v>
      </c>
      <c r="J7" s="278" t="s">
        <v>294</v>
      </c>
      <c r="K7" s="278" t="s">
        <v>156</v>
      </c>
      <c r="L7" s="279" t="s">
        <v>127</v>
      </c>
      <c r="M7" s="474"/>
      <c r="N7" s="474"/>
      <c r="O7" s="474"/>
      <c r="P7" s="474"/>
      <c r="Q7" s="474"/>
      <c r="R7" s="474"/>
      <c r="S7" s="474"/>
    </row>
    <row r="8" spans="1:19" ht="139.5" x14ac:dyDescent="0.25">
      <c r="A8" s="95">
        <v>1</v>
      </c>
      <c r="B8" s="96"/>
      <c r="C8" s="106" t="s">
        <v>147</v>
      </c>
      <c r="D8" s="107" t="s">
        <v>511</v>
      </c>
      <c r="E8" s="108" t="s">
        <v>86</v>
      </c>
      <c r="F8" s="108" t="s">
        <v>471</v>
      </c>
      <c r="G8" s="109">
        <v>68</v>
      </c>
      <c r="H8" s="109"/>
      <c r="I8" s="110">
        <v>3120</v>
      </c>
      <c r="J8" s="110"/>
      <c r="K8" s="110">
        <v>3120</v>
      </c>
      <c r="L8" s="111"/>
      <c r="M8" s="112" t="s">
        <v>104</v>
      </c>
      <c r="N8" s="112" t="s">
        <v>104</v>
      </c>
      <c r="O8" s="110">
        <v>50</v>
      </c>
      <c r="P8" s="113" t="s">
        <v>138</v>
      </c>
      <c r="Q8" s="114" t="s">
        <v>243</v>
      </c>
      <c r="R8" s="115" t="s">
        <v>197</v>
      </c>
      <c r="S8" s="108" t="s">
        <v>208</v>
      </c>
    </row>
    <row r="9" spans="1:19" ht="255.75" x14ac:dyDescent="0.25">
      <c r="A9" s="95">
        <v>2</v>
      </c>
      <c r="B9" s="96"/>
      <c r="C9" s="106" t="s">
        <v>148</v>
      </c>
      <c r="D9" s="146" t="s">
        <v>517</v>
      </c>
      <c r="E9" s="108" t="s">
        <v>46</v>
      </c>
      <c r="F9" s="108" t="s">
        <v>471</v>
      </c>
      <c r="G9" s="109">
        <v>40</v>
      </c>
      <c r="H9" s="109"/>
      <c r="I9" s="110">
        <v>10500</v>
      </c>
      <c r="J9" s="110"/>
      <c r="K9" s="110">
        <v>10500</v>
      </c>
      <c r="L9" s="111"/>
      <c r="M9" s="112" t="s">
        <v>98</v>
      </c>
      <c r="N9" s="112"/>
      <c r="O9" s="110">
        <v>5</v>
      </c>
      <c r="P9" s="108" t="s">
        <v>142</v>
      </c>
      <c r="Q9" s="147" t="s">
        <v>390</v>
      </c>
      <c r="R9" s="115" t="s">
        <v>200</v>
      </c>
      <c r="S9" s="108" t="s">
        <v>212</v>
      </c>
    </row>
    <row r="10" spans="1:19" ht="409.5" x14ac:dyDescent="0.25">
      <c r="A10" s="95">
        <v>3</v>
      </c>
      <c r="B10" s="96"/>
      <c r="C10" s="106" t="s">
        <v>148</v>
      </c>
      <c r="D10" s="107" t="s">
        <v>518</v>
      </c>
      <c r="E10" s="108" t="s">
        <v>190</v>
      </c>
      <c r="F10" s="108" t="s">
        <v>471</v>
      </c>
      <c r="G10" s="109">
        <v>100</v>
      </c>
      <c r="H10" s="109"/>
      <c r="I10" s="110">
        <v>3250</v>
      </c>
      <c r="J10" s="110"/>
      <c r="K10" s="110">
        <v>3250</v>
      </c>
      <c r="L10" s="111"/>
      <c r="M10" s="112" t="s">
        <v>104</v>
      </c>
      <c r="N10" s="112"/>
      <c r="O10" s="110">
        <v>50</v>
      </c>
      <c r="P10" s="108" t="s">
        <v>237</v>
      </c>
      <c r="Q10" s="148" t="s">
        <v>249</v>
      </c>
      <c r="R10" s="115" t="s">
        <v>242</v>
      </c>
      <c r="S10" s="108" t="s">
        <v>211</v>
      </c>
    </row>
    <row r="11" spans="1:19" ht="209.25" x14ac:dyDescent="0.25">
      <c r="A11" s="95">
        <v>4</v>
      </c>
      <c r="B11" s="96"/>
      <c r="C11" s="106" t="s">
        <v>148</v>
      </c>
      <c r="D11" s="107" t="s">
        <v>519</v>
      </c>
      <c r="E11" s="108" t="s">
        <v>63</v>
      </c>
      <c r="F11" s="108" t="s">
        <v>471</v>
      </c>
      <c r="G11" s="109">
        <v>85</v>
      </c>
      <c r="H11" s="109"/>
      <c r="I11" s="110">
        <v>3500</v>
      </c>
      <c r="J11" s="110"/>
      <c r="K11" s="110">
        <v>3500</v>
      </c>
      <c r="L11" s="111">
        <v>1500</v>
      </c>
      <c r="M11" s="112" t="s">
        <v>104</v>
      </c>
      <c r="N11" s="112"/>
      <c r="O11" s="110">
        <v>94</v>
      </c>
      <c r="P11" s="108" t="s">
        <v>163</v>
      </c>
      <c r="Q11" s="147" t="s">
        <v>391</v>
      </c>
      <c r="R11" s="108" t="s">
        <v>201</v>
      </c>
      <c r="S11" s="108" t="s">
        <v>213</v>
      </c>
    </row>
    <row r="12" spans="1:19" ht="232.5" x14ac:dyDescent="0.25">
      <c r="A12" s="95">
        <v>5</v>
      </c>
      <c r="B12" s="96"/>
      <c r="C12" s="106" t="s">
        <v>148</v>
      </c>
      <c r="D12" s="107" t="s">
        <v>523</v>
      </c>
      <c r="E12" s="108" t="s">
        <v>82</v>
      </c>
      <c r="F12" s="108" t="s">
        <v>471</v>
      </c>
      <c r="G12" s="150">
        <v>200</v>
      </c>
      <c r="H12" s="150"/>
      <c r="I12" s="110">
        <v>1221</v>
      </c>
      <c r="J12" s="110"/>
      <c r="K12" s="110">
        <v>1221</v>
      </c>
      <c r="L12" s="111"/>
      <c r="M12" s="112" t="s">
        <v>99</v>
      </c>
      <c r="N12" s="112" t="s">
        <v>104</v>
      </c>
      <c r="O12" s="110">
        <v>3</v>
      </c>
      <c r="P12" s="108" t="s">
        <v>144</v>
      </c>
      <c r="Q12" s="148" t="s">
        <v>253</v>
      </c>
      <c r="R12" s="108" t="s">
        <v>224</v>
      </c>
      <c r="S12" s="108" t="s">
        <v>216</v>
      </c>
    </row>
    <row r="13" spans="1:19" ht="65.45" customHeight="1" x14ac:dyDescent="0.25">
      <c r="A13" s="95">
        <v>6</v>
      </c>
      <c r="B13" s="96"/>
      <c r="C13" s="151" t="s">
        <v>148</v>
      </c>
      <c r="D13" s="152" t="s">
        <v>262</v>
      </c>
      <c r="E13" s="152" t="s">
        <v>408</v>
      </c>
      <c r="F13" s="152" t="s">
        <v>403</v>
      </c>
      <c r="G13" s="153"/>
      <c r="H13" s="153" t="s">
        <v>388</v>
      </c>
      <c r="I13" s="154"/>
      <c r="J13" s="154"/>
      <c r="K13" s="154">
        <v>361.8</v>
      </c>
      <c r="L13" s="155"/>
      <c r="M13" s="156"/>
      <c r="N13" s="156"/>
      <c r="O13" s="154"/>
      <c r="P13" s="152" t="s">
        <v>394</v>
      </c>
      <c r="Q13" s="157" t="s">
        <v>392</v>
      </c>
      <c r="R13" s="152" t="s">
        <v>398</v>
      </c>
      <c r="S13" s="152"/>
    </row>
    <row r="14" spans="1:19" ht="78.599999999999994" customHeight="1" x14ac:dyDescent="0.25">
      <c r="A14" s="95">
        <v>7</v>
      </c>
      <c r="B14" s="96"/>
      <c r="C14" s="151" t="s">
        <v>148</v>
      </c>
      <c r="D14" s="152" t="s">
        <v>263</v>
      </c>
      <c r="E14" s="152" t="s">
        <v>408</v>
      </c>
      <c r="F14" s="152" t="s">
        <v>403</v>
      </c>
      <c r="G14" s="153"/>
      <c r="H14" s="153" t="s">
        <v>388</v>
      </c>
      <c r="I14" s="154"/>
      <c r="J14" s="154"/>
      <c r="K14" s="154">
        <v>520</v>
      </c>
      <c r="L14" s="155"/>
      <c r="M14" s="156"/>
      <c r="N14" s="156"/>
      <c r="O14" s="154"/>
      <c r="P14" s="152" t="s">
        <v>395</v>
      </c>
      <c r="Q14" s="157" t="s">
        <v>393</v>
      </c>
      <c r="R14" s="152" t="s">
        <v>399</v>
      </c>
      <c r="S14" s="152"/>
    </row>
    <row r="15" spans="1:19" ht="209.25" x14ac:dyDescent="0.25">
      <c r="A15" s="95">
        <v>8</v>
      </c>
      <c r="B15" s="96"/>
      <c r="C15" s="106" t="s">
        <v>151</v>
      </c>
      <c r="D15" s="146" t="s">
        <v>524</v>
      </c>
      <c r="E15" s="108" t="s">
        <v>38</v>
      </c>
      <c r="F15" s="108" t="s">
        <v>471</v>
      </c>
      <c r="G15" s="109">
        <v>70</v>
      </c>
      <c r="H15" s="109"/>
      <c r="I15" s="110">
        <v>15000</v>
      </c>
      <c r="J15" s="110"/>
      <c r="K15" s="110">
        <v>15000</v>
      </c>
      <c r="L15" s="111">
        <v>15000</v>
      </c>
      <c r="M15" s="112" t="s">
        <v>104</v>
      </c>
      <c r="N15" s="112"/>
      <c r="O15" s="110">
        <v>15</v>
      </c>
      <c r="P15" s="108" t="s">
        <v>161</v>
      </c>
      <c r="Q15" s="148" t="s">
        <v>246</v>
      </c>
      <c r="R15" s="113" t="s">
        <v>235</v>
      </c>
      <c r="S15" s="108" t="s">
        <v>214</v>
      </c>
    </row>
    <row r="16" spans="1:19" ht="372" x14ac:dyDescent="0.25">
      <c r="A16" s="95">
        <v>9</v>
      </c>
      <c r="B16" s="96"/>
      <c r="C16" s="106" t="s">
        <v>150</v>
      </c>
      <c r="D16" s="108" t="s">
        <v>285</v>
      </c>
      <c r="E16" s="108" t="s">
        <v>401</v>
      </c>
      <c r="F16" s="277" t="s">
        <v>316</v>
      </c>
      <c r="G16" s="109"/>
      <c r="H16" s="93" t="s">
        <v>389</v>
      </c>
      <c r="I16" s="110"/>
      <c r="J16" s="110"/>
      <c r="K16" s="110">
        <v>994</v>
      </c>
      <c r="L16" s="110">
        <v>994</v>
      </c>
      <c r="M16" s="112"/>
      <c r="N16" s="112"/>
      <c r="O16" s="110"/>
      <c r="P16" s="113"/>
      <c r="Q16" s="148" t="s">
        <v>438</v>
      </c>
      <c r="R16" s="113" t="s">
        <v>286</v>
      </c>
      <c r="S16" s="108"/>
    </row>
    <row r="17" spans="1:19" ht="348.75" x14ac:dyDescent="0.25">
      <c r="A17" s="95">
        <v>10</v>
      </c>
      <c r="B17" s="96"/>
      <c r="C17" s="106" t="s">
        <v>154</v>
      </c>
      <c r="D17" s="107" t="s">
        <v>533</v>
      </c>
      <c r="E17" s="108" t="s">
        <v>183</v>
      </c>
      <c r="F17" s="108" t="s">
        <v>471</v>
      </c>
      <c r="G17" s="109">
        <v>400</v>
      </c>
      <c r="H17" s="109"/>
      <c r="I17" s="110">
        <v>121580</v>
      </c>
      <c r="J17" s="110"/>
      <c r="K17" s="110">
        <v>121580</v>
      </c>
      <c r="L17" s="111"/>
      <c r="M17" s="112" t="s">
        <v>101</v>
      </c>
      <c r="N17" s="112"/>
      <c r="O17" s="110">
        <v>1340</v>
      </c>
      <c r="P17" s="113" t="s">
        <v>157</v>
      </c>
      <c r="Q17" s="148" t="s">
        <v>251</v>
      </c>
      <c r="R17" s="113" t="s">
        <v>174</v>
      </c>
      <c r="S17" s="108" t="s">
        <v>228</v>
      </c>
    </row>
    <row r="18" spans="1:19" ht="116.25" x14ac:dyDescent="0.25">
      <c r="A18" s="95">
        <v>11</v>
      </c>
      <c r="B18" s="96"/>
      <c r="C18" s="225" t="s">
        <v>317</v>
      </c>
      <c r="D18" s="226" t="s">
        <v>306</v>
      </c>
      <c r="E18" s="227" t="s">
        <v>319</v>
      </c>
      <c r="F18" s="108" t="s">
        <v>471</v>
      </c>
      <c r="G18" s="109">
        <v>100</v>
      </c>
      <c r="H18" s="228"/>
      <c r="I18" s="229">
        <v>29900</v>
      </c>
      <c r="J18" s="229"/>
      <c r="K18" s="229">
        <v>29900</v>
      </c>
      <c r="L18" s="230"/>
      <c r="M18" s="230" t="s">
        <v>104</v>
      </c>
      <c r="N18" s="230"/>
      <c r="O18" s="230">
        <v>44.6</v>
      </c>
      <c r="P18" s="113" t="s">
        <v>318</v>
      </c>
      <c r="Q18" s="231" t="s">
        <v>324</v>
      </c>
      <c r="R18" s="231"/>
      <c r="S18" s="231" t="s">
        <v>305</v>
      </c>
    </row>
    <row r="19" spans="1:19" ht="395.25" x14ac:dyDescent="0.25">
      <c r="A19" s="95">
        <v>12</v>
      </c>
      <c r="B19" s="96"/>
      <c r="C19" s="106" t="s">
        <v>152</v>
      </c>
      <c r="D19" s="93" t="s">
        <v>491</v>
      </c>
      <c r="E19" s="93" t="s">
        <v>492</v>
      </c>
      <c r="F19" s="93"/>
      <c r="G19" s="93">
        <v>6</v>
      </c>
      <c r="H19" s="257" t="s">
        <v>450</v>
      </c>
      <c r="I19" s="93">
        <v>350</v>
      </c>
      <c r="J19" s="93"/>
      <c r="K19" s="93">
        <v>350</v>
      </c>
      <c r="L19" s="93"/>
      <c r="M19" s="93">
        <v>2025</v>
      </c>
      <c r="N19" s="93"/>
      <c r="O19" s="93"/>
      <c r="P19" s="93" t="s">
        <v>504</v>
      </c>
      <c r="Q19" s="257" t="s">
        <v>505</v>
      </c>
      <c r="R19" s="93"/>
      <c r="S19" s="93"/>
    </row>
    <row r="20" spans="1:19" ht="93" x14ac:dyDescent="0.25">
      <c r="A20" s="95">
        <v>13</v>
      </c>
      <c r="B20" s="96"/>
      <c r="C20" s="106" t="s">
        <v>149</v>
      </c>
      <c r="D20" s="93" t="s">
        <v>495</v>
      </c>
      <c r="E20" s="257" t="s">
        <v>494</v>
      </c>
      <c r="F20" s="93"/>
      <c r="G20" s="93"/>
      <c r="H20" s="257" t="s">
        <v>450</v>
      </c>
      <c r="I20" s="93">
        <v>500</v>
      </c>
      <c r="J20" s="93"/>
      <c r="K20" s="93">
        <v>500</v>
      </c>
      <c r="L20" s="93"/>
      <c r="M20" s="93">
        <v>2025</v>
      </c>
      <c r="N20" s="93"/>
      <c r="O20" s="93"/>
      <c r="P20" s="93"/>
      <c r="Q20" s="257" t="s">
        <v>509</v>
      </c>
      <c r="R20" s="93"/>
      <c r="S20" s="93"/>
    </row>
    <row r="21" spans="1:19" ht="325.5" x14ac:dyDescent="0.25">
      <c r="A21" s="95">
        <v>14</v>
      </c>
      <c r="B21" s="96"/>
      <c r="C21" s="106" t="s">
        <v>506</v>
      </c>
      <c r="D21" s="257" t="s">
        <v>493</v>
      </c>
      <c r="E21" s="257" t="s">
        <v>494</v>
      </c>
      <c r="F21" s="93"/>
      <c r="G21" s="93">
        <v>10</v>
      </c>
      <c r="H21" s="257" t="s">
        <v>450</v>
      </c>
      <c r="I21" s="93">
        <v>500</v>
      </c>
      <c r="J21" s="93"/>
      <c r="K21" s="93">
        <v>500</v>
      </c>
      <c r="L21" s="93"/>
      <c r="M21" s="93">
        <v>2025</v>
      </c>
      <c r="N21" s="93"/>
      <c r="O21" s="108"/>
      <c r="P21" s="108" t="s">
        <v>507</v>
      </c>
      <c r="Q21" s="257" t="s">
        <v>508</v>
      </c>
      <c r="R21" s="93"/>
      <c r="S21" s="93"/>
    </row>
  </sheetData>
  <mergeCells count="15">
    <mergeCell ref="F6:F7"/>
    <mergeCell ref="A6:A7"/>
    <mergeCell ref="B6:B7"/>
    <mergeCell ref="C6:C7"/>
    <mergeCell ref="D6:D7"/>
    <mergeCell ref="E6:E7"/>
    <mergeCell ref="Q6:Q7"/>
    <mergeCell ref="R6:R7"/>
    <mergeCell ref="S6:S7"/>
    <mergeCell ref="G6:G7"/>
    <mergeCell ref="I6:L6"/>
    <mergeCell ref="M6:M7"/>
    <mergeCell ref="N6:N7"/>
    <mergeCell ref="O6:O7"/>
    <mergeCell ref="P6:P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S13"/>
  <sheetViews>
    <sheetView zoomScale="70" zoomScaleNormal="70" workbookViewId="0">
      <selection activeCell="F4" sqref="F4"/>
    </sheetView>
  </sheetViews>
  <sheetFormatPr defaultRowHeight="15" x14ac:dyDescent="0.25"/>
  <cols>
    <col min="3" max="3" width="52.28515625" customWidth="1"/>
    <col min="4" max="4" width="35.140625" customWidth="1"/>
    <col min="5" max="5" width="36.28515625" customWidth="1"/>
    <col min="6" max="6" width="26.7109375" customWidth="1"/>
    <col min="7" max="7" width="29.7109375" customWidth="1"/>
    <col min="8" max="8" width="32.7109375" customWidth="1"/>
    <col min="9" max="9" width="33.28515625" customWidth="1"/>
    <col min="10" max="10" width="22.42578125" customWidth="1"/>
    <col min="11" max="11" width="32.85546875" customWidth="1"/>
    <col min="12" max="12" width="25.140625" customWidth="1"/>
    <col min="13" max="13" width="27.28515625" customWidth="1"/>
    <col min="14" max="14" width="19.140625" customWidth="1"/>
    <col min="15" max="15" width="18.85546875" customWidth="1"/>
    <col min="16" max="16" width="26.28515625" customWidth="1"/>
    <col min="17" max="17" width="122.7109375" customWidth="1"/>
    <col min="18" max="18" width="34.85546875" customWidth="1"/>
    <col min="19" max="19" width="24.28515625" customWidth="1"/>
  </cols>
  <sheetData>
    <row r="2" spans="1:19" ht="23.25" x14ac:dyDescent="0.25">
      <c r="C2" s="84"/>
      <c r="D2" s="76" t="s">
        <v>385</v>
      </c>
      <c r="E2" s="85" t="s">
        <v>386</v>
      </c>
      <c r="F2" s="189" t="s">
        <v>293</v>
      </c>
    </row>
    <row r="3" spans="1:19" ht="23.25" x14ac:dyDescent="0.25">
      <c r="C3" s="94" t="s">
        <v>374</v>
      </c>
      <c r="D3" s="76">
        <v>6</v>
      </c>
      <c r="E3" s="88">
        <v>51511</v>
      </c>
      <c r="F3" s="89">
        <v>910</v>
      </c>
    </row>
    <row r="6" spans="1:19" ht="23.25" x14ac:dyDescent="0.25">
      <c r="A6" s="474" t="s">
        <v>0</v>
      </c>
      <c r="B6" s="474" t="s">
        <v>0</v>
      </c>
      <c r="C6" s="474" t="s">
        <v>289</v>
      </c>
      <c r="D6" s="474" t="s">
        <v>3</v>
      </c>
      <c r="E6" s="474" t="s">
        <v>2</v>
      </c>
      <c r="F6" s="475" t="s">
        <v>298</v>
      </c>
      <c r="G6" s="474" t="s">
        <v>537</v>
      </c>
      <c r="H6" s="278" t="s">
        <v>16</v>
      </c>
      <c r="I6" s="474" t="s">
        <v>93</v>
      </c>
      <c r="J6" s="474"/>
      <c r="K6" s="474"/>
      <c r="L6" s="474"/>
      <c r="M6" s="474" t="s">
        <v>232</v>
      </c>
      <c r="N6" s="474" t="s">
        <v>233</v>
      </c>
      <c r="O6" s="474" t="s">
        <v>13</v>
      </c>
      <c r="P6" s="474" t="s">
        <v>159</v>
      </c>
      <c r="Q6" s="474" t="s">
        <v>11</v>
      </c>
      <c r="R6" s="474" t="s">
        <v>169</v>
      </c>
      <c r="S6" s="474" t="s">
        <v>95</v>
      </c>
    </row>
    <row r="7" spans="1:19" ht="93" x14ac:dyDescent="0.25">
      <c r="A7" s="474"/>
      <c r="B7" s="474"/>
      <c r="C7" s="477"/>
      <c r="D7" s="474"/>
      <c r="E7" s="474"/>
      <c r="F7" s="476"/>
      <c r="G7" s="474"/>
      <c r="H7" s="278" t="s">
        <v>387</v>
      </c>
      <c r="I7" s="278" t="s">
        <v>137</v>
      </c>
      <c r="J7" s="278" t="s">
        <v>294</v>
      </c>
      <c r="K7" s="278" t="s">
        <v>156</v>
      </c>
      <c r="L7" s="279" t="s">
        <v>127</v>
      </c>
      <c r="M7" s="474"/>
      <c r="N7" s="474"/>
      <c r="O7" s="474"/>
      <c r="P7" s="474"/>
      <c r="Q7" s="474"/>
      <c r="R7" s="474"/>
      <c r="S7" s="474"/>
    </row>
    <row r="8" spans="1:19" ht="139.5" x14ac:dyDescent="0.25">
      <c r="A8" s="95">
        <v>20</v>
      </c>
      <c r="B8" s="96">
        <v>1</v>
      </c>
      <c r="C8" s="161" t="s">
        <v>148</v>
      </c>
      <c r="D8" s="162" t="s">
        <v>280</v>
      </c>
      <c r="E8" s="162" t="s">
        <v>402</v>
      </c>
      <c r="F8" s="162" t="s">
        <v>316</v>
      </c>
      <c r="G8" s="163"/>
      <c r="H8" s="163" t="s">
        <v>389</v>
      </c>
      <c r="I8" s="164"/>
      <c r="J8" s="164"/>
      <c r="K8" s="165">
        <v>2000</v>
      </c>
      <c r="L8" s="166">
        <v>2000</v>
      </c>
      <c r="M8" s="167"/>
      <c r="N8" s="167"/>
      <c r="O8" s="164"/>
      <c r="P8" s="162" t="s">
        <v>424</v>
      </c>
      <c r="Q8" s="147" t="s">
        <v>465</v>
      </c>
      <c r="R8" s="162" t="s">
        <v>288</v>
      </c>
      <c r="S8" s="162"/>
    </row>
    <row r="9" spans="1:19" ht="69.75" x14ac:dyDescent="0.25">
      <c r="A9" s="168">
        <v>21</v>
      </c>
      <c r="B9" s="169">
        <v>1</v>
      </c>
      <c r="C9" s="170" t="s">
        <v>148</v>
      </c>
      <c r="D9" s="171" t="s">
        <v>281</v>
      </c>
      <c r="E9" s="171" t="s">
        <v>297</v>
      </c>
      <c r="F9" s="172" t="s">
        <v>299</v>
      </c>
      <c r="G9" s="172"/>
      <c r="H9" s="173" t="s">
        <v>389</v>
      </c>
      <c r="I9" s="173"/>
      <c r="J9" s="174"/>
      <c r="K9" s="175">
        <v>1833.8</v>
      </c>
      <c r="L9" s="176">
        <v>1833.8</v>
      </c>
      <c r="M9" s="176"/>
      <c r="N9" s="173"/>
      <c r="O9" s="171"/>
      <c r="P9" s="177" t="s">
        <v>425</v>
      </c>
      <c r="Q9" s="178" t="s">
        <v>464</v>
      </c>
      <c r="R9" s="171" t="s">
        <v>430</v>
      </c>
      <c r="S9" s="170"/>
    </row>
    <row r="10" spans="1:19" ht="279" x14ac:dyDescent="0.25">
      <c r="A10" s="95">
        <v>59</v>
      </c>
      <c r="B10" s="96">
        <v>1</v>
      </c>
      <c r="C10" s="216" t="s">
        <v>154</v>
      </c>
      <c r="D10" s="217" t="s">
        <v>70</v>
      </c>
      <c r="E10" s="218" t="s">
        <v>71</v>
      </c>
      <c r="F10" s="218" t="s">
        <v>300</v>
      </c>
      <c r="G10" s="219">
        <v>460</v>
      </c>
      <c r="H10" s="219"/>
      <c r="I10" s="220">
        <v>35291</v>
      </c>
      <c r="J10" s="220"/>
      <c r="K10" s="220">
        <v>35291</v>
      </c>
      <c r="L10" s="221">
        <v>28233</v>
      </c>
      <c r="M10" s="222" t="s">
        <v>104</v>
      </c>
      <c r="N10" s="222"/>
      <c r="O10" s="220">
        <v>31.8</v>
      </c>
      <c r="P10" s="223" t="s">
        <v>166</v>
      </c>
      <c r="Q10" s="224" t="s">
        <v>225</v>
      </c>
      <c r="R10" s="223" t="s">
        <v>181</v>
      </c>
      <c r="S10" s="218" t="s">
        <v>227</v>
      </c>
    </row>
    <row r="11" spans="1:19" ht="325.5" x14ac:dyDescent="0.25">
      <c r="A11" s="95">
        <v>66</v>
      </c>
      <c r="B11" s="96">
        <v>1</v>
      </c>
      <c r="C11" s="216" t="s">
        <v>155</v>
      </c>
      <c r="D11" s="239" t="s">
        <v>291</v>
      </c>
      <c r="E11" s="218" t="s">
        <v>21</v>
      </c>
      <c r="F11" s="218" t="s">
        <v>300</v>
      </c>
      <c r="G11" s="240">
        <v>450</v>
      </c>
      <c r="H11" s="240"/>
      <c r="I11" s="222">
        <v>12386.2</v>
      </c>
      <c r="J11" s="222"/>
      <c r="K11" s="222">
        <v>12386.2</v>
      </c>
      <c r="L11" s="241"/>
      <c r="M11" s="222" t="s">
        <v>104</v>
      </c>
      <c r="N11" s="222" t="s">
        <v>100</v>
      </c>
      <c r="O11" s="220">
        <v>24</v>
      </c>
      <c r="P11" s="223" t="s">
        <v>164</v>
      </c>
      <c r="Q11" s="224" t="s">
        <v>252</v>
      </c>
      <c r="R11" s="223" t="s">
        <v>177</v>
      </c>
      <c r="S11" s="218" t="s">
        <v>220</v>
      </c>
    </row>
    <row r="12" spans="1:19" ht="57.6" customHeight="1" x14ac:dyDescent="0.25">
      <c r="A12" s="95">
        <v>74</v>
      </c>
      <c r="B12" s="96">
        <v>1</v>
      </c>
      <c r="C12" s="216"/>
      <c r="D12" s="248" t="s">
        <v>7</v>
      </c>
      <c r="E12" s="249"/>
      <c r="F12" s="249"/>
      <c r="G12" s="216"/>
      <c r="H12" s="249"/>
      <c r="I12" s="250"/>
      <c r="J12" s="250"/>
      <c r="K12" s="250"/>
      <c r="L12" s="250"/>
      <c r="M12" s="250"/>
      <c r="N12" s="250"/>
      <c r="O12" s="250"/>
      <c r="P12" s="249"/>
      <c r="Q12" s="249"/>
      <c r="R12" s="249"/>
      <c r="S12" s="249"/>
    </row>
    <row r="13" spans="1:19" ht="63.6" customHeight="1" x14ac:dyDescent="0.25">
      <c r="A13" s="95">
        <v>75</v>
      </c>
      <c r="B13" s="96">
        <v>1</v>
      </c>
      <c r="C13" s="216"/>
      <c r="D13" s="248" t="s">
        <v>92</v>
      </c>
      <c r="E13" s="249"/>
      <c r="F13" s="249"/>
      <c r="G13" s="216"/>
      <c r="H13" s="249"/>
      <c r="I13" s="250"/>
      <c r="J13" s="250"/>
      <c r="K13" s="250"/>
      <c r="L13" s="250"/>
      <c r="M13" s="250"/>
      <c r="N13" s="250"/>
      <c r="O13" s="250"/>
      <c r="P13" s="249"/>
      <c r="Q13" s="249"/>
      <c r="R13" s="249"/>
      <c r="S13" s="249"/>
    </row>
  </sheetData>
  <mergeCells count="15">
    <mergeCell ref="F6:F7"/>
    <mergeCell ref="A6:A7"/>
    <mergeCell ref="B6:B7"/>
    <mergeCell ref="C6:C7"/>
    <mergeCell ref="D6:D7"/>
    <mergeCell ref="E6:E7"/>
    <mergeCell ref="Q6:Q7"/>
    <mergeCell ref="R6:R7"/>
    <mergeCell ref="S6:S7"/>
    <mergeCell ref="G6:G7"/>
    <mergeCell ref="I6:L6"/>
    <mergeCell ref="M6:M7"/>
    <mergeCell ref="N6:N7"/>
    <mergeCell ref="O6:O7"/>
    <mergeCell ref="P6:P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G25" sqref="G25"/>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K18"/>
  <sheetViews>
    <sheetView view="pageBreakPreview" zoomScaleNormal="100" zoomScaleSheetLayoutView="100" workbookViewId="0">
      <selection activeCell="E5" sqref="E5:H5"/>
    </sheetView>
  </sheetViews>
  <sheetFormatPr defaultColWidth="9.140625" defaultRowHeight="14.25" x14ac:dyDescent="0.2"/>
  <cols>
    <col min="1" max="1" width="5.28515625" style="2" customWidth="1"/>
    <col min="2" max="2" width="24.42578125" style="59" customWidth="1"/>
    <col min="3" max="3" width="11.140625" style="59" customWidth="1"/>
    <col min="4" max="4" width="14.42578125" style="59" customWidth="1"/>
    <col min="5" max="6" width="11.140625" style="2" customWidth="1"/>
    <col min="7" max="7" width="15.28515625" style="2" customWidth="1"/>
    <col min="8" max="8" width="12.7109375" style="2" customWidth="1"/>
    <col min="9" max="10" width="11.140625" style="2" customWidth="1"/>
    <col min="11" max="11" width="13.85546875" style="2" customWidth="1"/>
    <col min="12" max="16384" width="9.140625" style="2"/>
  </cols>
  <sheetData>
    <row r="2" spans="1:11" ht="23.25" x14ac:dyDescent="0.35">
      <c r="A2" s="63" t="s">
        <v>134</v>
      </c>
    </row>
    <row r="3" spans="1:11" ht="17.25" customHeight="1" x14ac:dyDescent="0.4">
      <c r="A3" s="37"/>
    </row>
    <row r="4" spans="1:11" ht="18" x14ac:dyDescent="0.25">
      <c r="B4" s="60"/>
      <c r="C4" s="60"/>
      <c r="D4" s="60"/>
    </row>
    <row r="5" spans="1:11" s="38" customFormat="1" ht="24" customHeight="1" x14ac:dyDescent="0.2">
      <c r="A5" s="478" t="s">
        <v>0</v>
      </c>
      <c r="B5" s="478" t="s">
        <v>132</v>
      </c>
      <c r="C5" s="480" t="s">
        <v>135</v>
      </c>
      <c r="D5" s="481"/>
      <c r="E5" s="478" t="s">
        <v>131</v>
      </c>
      <c r="F5" s="478"/>
      <c r="G5" s="478"/>
      <c r="H5" s="478"/>
      <c r="I5" s="478" t="s">
        <v>133</v>
      </c>
      <c r="J5" s="478"/>
      <c r="K5" s="478"/>
    </row>
    <row r="6" spans="1:11" s="65" customFormat="1" ht="24.75" customHeight="1" x14ac:dyDescent="0.2">
      <c r="A6" s="478"/>
      <c r="B6" s="478"/>
      <c r="C6" s="479" t="s">
        <v>130</v>
      </c>
      <c r="D6" s="479" t="s">
        <v>136</v>
      </c>
      <c r="E6" s="464" t="s">
        <v>130</v>
      </c>
      <c r="F6" s="479" t="s">
        <v>4</v>
      </c>
      <c r="G6" s="464" t="s">
        <v>93</v>
      </c>
      <c r="H6" s="464"/>
      <c r="I6" s="479" t="s">
        <v>130</v>
      </c>
      <c r="J6" s="479" t="s">
        <v>4</v>
      </c>
      <c r="K6" s="479" t="s">
        <v>93</v>
      </c>
    </row>
    <row r="7" spans="1:11" s="65" customFormat="1" ht="32.25" customHeight="1" x14ac:dyDescent="0.2">
      <c r="A7" s="478"/>
      <c r="B7" s="478"/>
      <c r="C7" s="479"/>
      <c r="D7" s="479"/>
      <c r="E7" s="464"/>
      <c r="F7" s="479"/>
      <c r="G7" s="51" t="s">
        <v>105</v>
      </c>
      <c r="H7" s="66" t="s">
        <v>127</v>
      </c>
      <c r="I7" s="479"/>
      <c r="J7" s="479"/>
      <c r="K7" s="479"/>
    </row>
    <row r="8" spans="1:11" s="35" customFormat="1" ht="28.5" customHeight="1" x14ac:dyDescent="0.3">
      <c r="A8" s="31"/>
      <c r="B8" s="64" t="s">
        <v>105</v>
      </c>
      <c r="C8" s="67">
        <f t="shared" ref="C8:D8" si="0">SUM(C9:C18)</f>
        <v>39</v>
      </c>
      <c r="D8" s="67" t="e">
        <f t="shared" si="0"/>
        <v>#REF!</v>
      </c>
      <c r="E8" s="67">
        <f>SUM(E9:E18)</f>
        <v>28</v>
      </c>
      <c r="F8" s="68">
        <f>SUM(F9:F18)</f>
        <v>3969</v>
      </c>
      <c r="G8" s="67">
        <f>SUM(G9:G18)</f>
        <v>428389.93300000002</v>
      </c>
      <c r="H8" s="70">
        <f t="shared" ref="H8" si="1">SUM(H11:H17)</f>
        <v>104500</v>
      </c>
      <c r="I8" s="67">
        <f>SUM(I9:I18)</f>
        <v>11</v>
      </c>
      <c r="J8" s="67" t="e">
        <f>SUM(J9:J18)</f>
        <v>#REF!</v>
      </c>
      <c r="K8" s="67" t="e">
        <f>SUM(K9:K18)</f>
        <v>#REF!</v>
      </c>
    </row>
    <row r="9" spans="1:11" ht="28.5" customHeight="1" x14ac:dyDescent="0.2">
      <c r="A9" s="7">
        <v>1</v>
      </c>
      <c r="B9" s="61" t="s">
        <v>27</v>
      </c>
      <c r="C9" s="72">
        <f>SUM(E9+I9)</f>
        <v>5</v>
      </c>
      <c r="D9" s="1" t="e">
        <f>SUM(G9+K9)</f>
        <v>#REF!</v>
      </c>
      <c r="E9" s="72">
        <v>4</v>
      </c>
      <c r="F9" s="1">
        <f>SUM(Реализация!F14+Реализация!F27+Реализация!F31+Реализация!F37)</f>
        <v>1518</v>
      </c>
      <c r="G9" s="69">
        <f>SUM(Реализация!G14+Реализация!G27+Реализация!G31+Реализация!G37)</f>
        <v>168781</v>
      </c>
      <c r="H9" s="71">
        <f>SUM(Реализация!H14+Реализация!H27+Реализация!H31+Реализация!H37)</f>
        <v>23400</v>
      </c>
      <c r="I9" s="72">
        <v>1</v>
      </c>
      <c r="J9" s="1" t="e">
        <f>SUM(#REF!)</f>
        <v>#REF!</v>
      </c>
      <c r="K9" s="1" t="e">
        <f>SUM(#REF!)</f>
        <v>#REF!</v>
      </c>
    </row>
    <row r="10" spans="1:11" ht="28.5" customHeight="1" x14ac:dyDescent="0.2">
      <c r="A10" s="7">
        <v>2</v>
      </c>
      <c r="B10" s="61" t="s">
        <v>15</v>
      </c>
      <c r="C10" s="72">
        <f t="shared" ref="C10:C18" si="2">SUM(E10+I10)</f>
        <v>5</v>
      </c>
      <c r="D10" s="1" t="e">
        <f t="shared" ref="D10:D18" si="3">SUM(G10+K10)</f>
        <v>#REF!</v>
      </c>
      <c r="E10" s="72">
        <v>1</v>
      </c>
      <c r="F10" s="1">
        <f>SUM(Реализация!F19)</f>
        <v>50</v>
      </c>
      <c r="G10" s="69">
        <f>SUM(Реализация!G19)</f>
        <v>1000</v>
      </c>
      <c r="H10" s="71">
        <f>SUM(Реализация!H19)</f>
        <v>0</v>
      </c>
      <c r="I10" s="72">
        <v>4</v>
      </c>
      <c r="J10" s="1" t="e">
        <f>SUM(#REF!+#REF!+#REF!+#REF!)</f>
        <v>#REF!</v>
      </c>
      <c r="K10" s="1" t="e">
        <f>SUM(#REF!+#REF!+#REF!+#REF!)</f>
        <v>#REF!</v>
      </c>
    </row>
    <row r="11" spans="1:11" ht="28.5" customHeight="1" x14ac:dyDescent="0.2">
      <c r="A11" s="7">
        <v>3</v>
      </c>
      <c r="B11" s="61" t="s">
        <v>10</v>
      </c>
      <c r="C11" s="72">
        <f t="shared" si="2"/>
        <v>4</v>
      </c>
      <c r="D11" s="1">
        <f t="shared" si="3"/>
        <v>118589.2</v>
      </c>
      <c r="E11" s="72">
        <v>4</v>
      </c>
      <c r="F11" s="1">
        <f>SUM(Реализация!F15+Реализация!F16+Реализация!F17+Реализация!F18)</f>
        <v>949</v>
      </c>
      <c r="G11" s="69">
        <f>SUM(Реализация!G15+Реализация!G16+Реализация!G17+Реализация!G18)</f>
        <v>118589.2</v>
      </c>
      <c r="H11" s="71">
        <f>SUM(Реализация!H15+Реализация!H16+Реализация!H17+Реализация!H18)</f>
        <v>81000</v>
      </c>
      <c r="I11" s="72"/>
      <c r="J11" s="1"/>
      <c r="K11" s="1"/>
    </row>
    <row r="12" spans="1:11" ht="28.5" customHeight="1" x14ac:dyDescent="0.2">
      <c r="A12" s="7">
        <v>4</v>
      </c>
      <c r="B12" s="62" t="s">
        <v>30</v>
      </c>
      <c r="C12" s="72">
        <f t="shared" si="2"/>
        <v>13</v>
      </c>
      <c r="D12" s="1" t="e">
        <f t="shared" si="3"/>
        <v>#REF!</v>
      </c>
      <c r="E12" s="72">
        <v>9</v>
      </c>
      <c r="F12" s="1">
        <f>SUM(Реализация!F20+Реализация!F21+Реализация!F25+Реализация!F26+Реализация!F29+Реализация!F33+Реализация!F34+Реализация!F35+Реализация!F36)</f>
        <v>704</v>
      </c>
      <c r="G12" s="69">
        <f>SUM(Реализация!G20+Реализация!G21+Реализация!G25+Реализация!G26+Реализация!G29+Реализация!G33+Реализация!G34+Реализация!G35+Реализация!G36)</f>
        <v>77062.933000000005</v>
      </c>
      <c r="H12" s="71">
        <f>SUM(Реализация!H20+Реализация!H21+Реализация!H25+Реализация!H26+Реализация!H29+Реализация!H33+Реализация!H34+Реализация!H35+Реализация!H36)</f>
        <v>8500</v>
      </c>
      <c r="I12" s="72">
        <v>4</v>
      </c>
      <c r="J12" s="1" t="e">
        <f>SUM(#REF!+#REF!+#REF!+#REF!)</f>
        <v>#REF!</v>
      </c>
      <c r="K12" s="1" t="e">
        <f>SUM(#REF!+#REF!+#REF!+#REF!)</f>
        <v>#REF!</v>
      </c>
    </row>
    <row r="13" spans="1:11" ht="28.5" customHeight="1" x14ac:dyDescent="0.2">
      <c r="A13" s="7">
        <v>5</v>
      </c>
      <c r="B13" s="62" t="s">
        <v>34</v>
      </c>
      <c r="C13" s="72">
        <f t="shared" si="2"/>
        <v>2</v>
      </c>
      <c r="D13" s="1">
        <f t="shared" si="3"/>
        <v>5550</v>
      </c>
      <c r="E13" s="72">
        <v>2</v>
      </c>
      <c r="F13" s="1">
        <f>SUM(Реализация!F22+Реализация!F28)</f>
        <v>90</v>
      </c>
      <c r="G13" s="69">
        <f>SUM(Реализация!G22+Реализация!G28)</f>
        <v>5550</v>
      </c>
      <c r="H13" s="71">
        <f>SUM(Реализация!H22+Реализация!H28)</f>
        <v>0</v>
      </c>
      <c r="I13" s="72"/>
      <c r="J13" s="1"/>
      <c r="K13" s="1"/>
    </row>
    <row r="14" spans="1:11" ht="28.5" customHeight="1" x14ac:dyDescent="0.2">
      <c r="A14" s="7">
        <v>6</v>
      </c>
      <c r="B14" s="62" t="s">
        <v>72</v>
      </c>
      <c r="C14" s="72">
        <f t="shared" si="2"/>
        <v>1</v>
      </c>
      <c r="D14" s="1">
        <f t="shared" si="3"/>
        <v>15800</v>
      </c>
      <c r="E14" s="72">
        <v>1</v>
      </c>
      <c r="F14" s="1">
        <f>SUM(Реализация!F32)</f>
        <v>250</v>
      </c>
      <c r="G14" s="69">
        <f>SUM(Реализация!G32)</f>
        <v>15800</v>
      </c>
      <c r="H14" s="71">
        <f>SUM(Реализация!H32)</f>
        <v>0</v>
      </c>
      <c r="I14" s="72"/>
      <c r="J14" s="1"/>
      <c r="K14" s="1"/>
    </row>
    <row r="15" spans="1:11" ht="28.5" customHeight="1" x14ac:dyDescent="0.2">
      <c r="A15" s="7">
        <v>7</v>
      </c>
      <c r="B15" s="62" t="s">
        <v>51</v>
      </c>
      <c r="C15" s="72">
        <f t="shared" si="2"/>
        <v>1</v>
      </c>
      <c r="D15" s="1" t="e">
        <f t="shared" si="3"/>
        <v>#REF!</v>
      </c>
      <c r="E15" s="72"/>
      <c r="F15" s="1"/>
      <c r="G15" s="69"/>
      <c r="H15" s="71"/>
      <c r="I15" s="72">
        <v>1</v>
      </c>
      <c r="J15" s="1" t="e">
        <f>SUM(#REF!)</f>
        <v>#REF!</v>
      </c>
      <c r="K15" s="1" t="e">
        <f>SUM(#REF!)</f>
        <v>#REF!</v>
      </c>
    </row>
    <row r="16" spans="1:11" ht="28.5" customHeight="1" x14ac:dyDescent="0.2">
      <c r="A16" s="7">
        <v>8</v>
      </c>
      <c r="B16" s="62" t="s">
        <v>25</v>
      </c>
      <c r="C16" s="72">
        <f t="shared" si="2"/>
        <v>3</v>
      </c>
      <c r="D16" s="1">
        <f t="shared" si="3"/>
        <v>4106.8</v>
      </c>
      <c r="E16" s="72">
        <v>3</v>
      </c>
      <c r="F16" s="1">
        <f>SUM(Реализация!F13+Реализация!F38+Реализация!F39)</f>
        <v>153</v>
      </c>
      <c r="G16" s="69">
        <f>SUM(Реализация!G13+Реализация!G38+Реализация!G39)</f>
        <v>4106.8</v>
      </c>
      <c r="H16" s="71">
        <f>SUM(Реализация!H13+Реализация!H38+Реализация!H39)</f>
        <v>0</v>
      </c>
      <c r="I16" s="72"/>
      <c r="J16" s="1"/>
      <c r="K16" s="1"/>
    </row>
    <row r="17" spans="1:11" ht="28.5" customHeight="1" x14ac:dyDescent="0.2">
      <c r="A17" s="7">
        <v>9</v>
      </c>
      <c r="B17" s="62" t="s">
        <v>6</v>
      </c>
      <c r="C17" s="72">
        <f t="shared" si="2"/>
        <v>3</v>
      </c>
      <c r="D17" s="1" t="e">
        <f t="shared" si="3"/>
        <v>#REF!</v>
      </c>
      <c r="E17" s="72">
        <v>2</v>
      </c>
      <c r="F17" s="1">
        <f>SUM(Реализация!F23+Реализация!F40)</f>
        <v>90</v>
      </c>
      <c r="G17" s="69">
        <f>SUM(Реализация!G23+Реализация!G40)</f>
        <v>15750</v>
      </c>
      <c r="H17" s="71">
        <f>SUM(Реализация!H23+Реализация!H40)</f>
        <v>15000</v>
      </c>
      <c r="I17" s="72">
        <v>1</v>
      </c>
      <c r="J17" s="1" t="e">
        <f>SUM(#REF!)</f>
        <v>#REF!</v>
      </c>
      <c r="K17" s="1" t="e">
        <f>SUM(#REF!)</f>
        <v>#REF!</v>
      </c>
    </row>
    <row r="18" spans="1:11" ht="28.5" customHeight="1" x14ac:dyDescent="0.2">
      <c r="A18" s="7">
        <v>10</v>
      </c>
      <c r="B18" s="62" t="s">
        <v>40</v>
      </c>
      <c r="C18" s="72">
        <f t="shared" si="2"/>
        <v>2</v>
      </c>
      <c r="D18" s="1">
        <f t="shared" si="3"/>
        <v>21750</v>
      </c>
      <c r="E18" s="72">
        <v>2</v>
      </c>
      <c r="F18" s="1">
        <f>SUM(Реализация!F24+Реализация!F30)</f>
        <v>165</v>
      </c>
      <c r="G18" s="69">
        <f>SUM(Реализация!G24+Реализация!G30)</f>
        <v>21750</v>
      </c>
      <c r="H18" s="71">
        <f>SUM(Реализация!H24+Реализация!H30)</f>
        <v>0</v>
      </c>
      <c r="I18" s="72"/>
      <c r="J18" s="1"/>
      <c r="K18" s="1"/>
    </row>
  </sheetData>
  <autoFilter ref="A8:K17" xr:uid="{00000000-0009-0000-0000-000007000000}"/>
  <mergeCells count="13">
    <mergeCell ref="C6:C7"/>
    <mergeCell ref="C5:D5"/>
    <mergeCell ref="D6:D7"/>
    <mergeCell ref="A5:A7"/>
    <mergeCell ref="B5:B7"/>
    <mergeCell ref="E6:E7"/>
    <mergeCell ref="G6:H6"/>
    <mergeCell ref="E5:H5"/>
    <mergeCell ref="F6:F7"/>
    <mergeCell ref="I5:K5"/>
    <mergeCell ref="I6:I7"/>
    <mergeCell ref="J6:J7"/>
    <mergeCell ref="K6:K7"/>
  </mergeCells>
  <printOptions horizontalCentered="1"/>
  <pageMargins left="0.31496062992125984" right="0.11811023622047245" top="0.35433070866141736" bottom="0.15748031496062992" header="0.31496062992125984" footer="0.31496062992125984"/>
  <pageSetup paperSize="9" orientation="landscape"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X40"/>
  <sheetViews>
    <sheetView view="pageBreakPreview" topLeftCell="A7" zoomScaleNormal="100" zoomScaleSheetLayoutView="100" workbookViewId="0">
      <selection activeCell="G14" sqref="G14"/>
    </sheetView>
  </sheetViews>
  <sheetFormatPr defaultColWidth="9.140625" defaultRowHeight="15" x14ac:dyDescent="0.25"/>
  <cols>
    <col min="1" max="1" width="5.28515625" style="2" customWidth="1"/>
    <col min="2" max="2" width="16" style="2" customWidth="1"/>
    <col min="3" max="3" width="19" style="2" customWidth="1"/>
    <col min="4" max="4" width="20.5703125" style="3" customWidth="1"/>
    <col min="5" max="5" width="30" style="2" customWidth="1"/>
    <col min="6" max="6" width="12.5703125" style="2" customWidth="1"/>
    <col min="7" max="8" width="16.28515625" style="2" customWidth="1"/>
    <col min="9" max="9" width="13.5703125" style="2" customWidth="1"/>
    <col min="10" max="10" width="14.28515625" style="2" customWidth="1"/>
    <col min="11" max="11" width="19.5703125" style="2" customWidth="1"/>
    <col min="12" max="12" width="19.140625" style="2" customWidth="1"/>
    <col min="13" max="13" width="9.140625" style="2"/>
    <col min="14" max="14" width="9.140625" style="38"/>
    <col min="15" max="15" width="9.28515625" style="38" bestFit="1" customWidth="1"/>
    <col min="16" max="16" width="14" style="38" bestFit="1" customWidth="1"/>
    <col min="17" max="22" width="9.140625" style="38"/>
    <col min="23" max="16384" width="9.140625" style="2"/>
  </cols>
  <sheetData>
    <row r="2" spans="1:24" ht="27.75" x14ac:dyDescent="0.4">
      <c r="A2" s="37" t="s">
        <v>94</v>
      </c>
      <c r="N2" s="40" t="s">
        <v>124</v>
      </c>
      <c r="O2" s="43" t="s">
        <v>123</v>
      </c>
      <c r="P2" s="482" t="s">
        <v>121</v>
      </c>
      <c r="Q2" s="483"/>
      <c r="R2" s="50" t="s">
        <v>123</v>
      </c>
      <c r="S2" s="482" t="s">
        <v>122</v>
      </c>
      <c r="T2" s="483"/>
      <c r="U2" s="44" t="s">
        <v>120</v>
      </c>
      <c r="V2" s="44" t="s">
        <v>119</v>
      </c>
      <c r="W2" s="45" t="s">
        <v>123</v>
      </c>
    </row>
    <row r="3" spans="1:24" ht="17.25" customHeight="1" x14ac:dyDescent="0.4">
      <c r="A3" s="37"/>
      <c r="N3" s="44" t="s">
        <v>105</v>
      </c>
      <c r="O3" s="44">
        <f t="shared" ref="O3:T3" si="0">SUM(O4:O7)</f>
        <v>28</v>
      </c>
      <c r="P3" s="44">
        <f t="shared" si="0"/>
        <v>3969</v>
      </c>
      <c r="Q3" s="44">
        <f t="shared" si="0"/>
        <v>428389.93300000002</v>
      </c>
      <c r="R3" s="44">
        <f t="shared" si="0"/>
        <v>11</v>
      </c>
      <c r="S3" s="44" t="e">
        <f t="shared" si="0"/>
        <v>#REF!</v>
      </c>
      <c r="T3" s="44" t="e">
        <f t="shared" si="0"/>
        <v>#REF!</v>
      </c>
      <c r="U3" s="44" t="e">
        <f>P3+S3</f>
        <v>#REF!</v>
      </c>
      <c r="V3" s="44" t="e">
        <f>Q3+T3</f>
        <v>#REF!</v>
      </c>
      <c r="W3" s="45">
        <f>SUM(W4:W7)</f>
        <v>39</v>
      </c>
    </row>
    <row r="4" spans="1:24" ht="20.25" x14ac:dyDescent="0.3">
      <c r="B4" s="36" t="s">
        <v>116</v>
      </c>
      <c r="N4" s="40">
        <v>2022</v>
      </c>
      <c r="O4" s="40">
        <v>1</v>
      </c>
      <c r="P4" s="40">
        <f>F15</f>
        <v>99</v>
      </c>
      <c r="Q4" s="40">
        <f>G15</f>
        <v>6503</v>
      </c>
      <c r="R4" s="40">
        <v>1</v>
      </c>
      <c r="S4" s="40" t="e">
        <f>#REF!</f>
        <v>#REF!</v>
      </c>
      <c r="T4" s="40" t="e">
        <f>#REF!</f>
        <v>#REF!</v>
      </c>
      <c r="U4" s="44" t="e">
        <f t="shared" ref="U4:U7" si="1">P4+S4</f>
        <v>#REF!</v>
      </c>
      <c r="V4" s="44" t="e">
        <f t="shared" ref="V4:V7" si="2">Q4+T4</f>
        <v>#REF!</v>
      </c>
      <c r="W4" s="45">
        <f>SUM(O4+R4)</f>
        <v>2</v>
      </c>
    </row>
    <row r="5" spans="1:24" ht="20.25" x14ac:dyDescent="0.3">
      <c r="B5" s="36" t="s">
        <v>117</v>
      </c>
      <c r="N5" s="40">
        <v>2023</v>
      </c>
      <c r="O5" s="40">
        <v>5</v>
      </c>
      <c r="P5" s="40">
        <f>F13+F14+F16+F17+F18</f>
        <v>1400</v>
      </c>
      <c r="Q5" s="40">
        <f>G13+G14+G16+G17+G18</f>
        <v>122273</v>
      </c>
      <c r="R5" s="40">
        <v>4</v>
      </c>
      <c r="S5" s="40" t="e">
        <f>#REF!</f>
        <v>#REF!</v>
      </c>
      <c r="T5" s="40" t="e">
        <f>#REF!</f>
        <v>#REF!</v>
      </c>
      <c r="U5" s="44" t="e">
        <f t="shared" si="1"/>
        <v>#REF!</v>
      </c>
      <c r="V5" s="44" t="e">
        <f t="shared" si="2"/>
        <v>#REF!</v>
      </c>
      <c r="W5" s="45">
        <f t="shared" ref="W5:W7" si="3">SUM(O5+R5)</f>
        <v>9</v>
      </c>
    </row>
    <row r="6" spans="1:24" ht="20.25" x14ac:dyDescent="0.3">
      <c r="B6" s="36" t="s">
        <v>106</v>
      </c>
      <c r="N6" s="40">
        <v>2024</v>
      </c>
      <c r="O6" s="40">
        <v>7</v>
      </c>
      <c r="P6" s="40">
        <f>F19+F20+F21+F22+F23+F24+F25</f>
        <v>478</v>
      </c>
      <c r="Q6" s="40">
        <f>G19+G20+G21+G22+G23+G24+G25</f>
        <v>45000</v>
      </c>
      <c r="R6" s="40">
        <v>4</v>
      </c>
      <c r="S6" s="40" t="e">
        <f>#REF!</f>
        <v>#REF!</v>
      </c>
      <c r="T6" s="40" t="e">
        <f>#REF!</f>
        <v>#REF!</v>
      </c>
      <c r="U6" s="44" t="e">
        <f t="shared" si="1"/>
        <v>#REF!</v>
      </c>
      <c r="V6" s="44" t="e">
        <f t="shared" si="2"/>
        <v>#REF!</v>
      </c>
      <c r="W6" s="45">
        <f t="shared" si="3"/>
        <v>11</v>
      </c>
    </row>
    <row r="7" spans="1:24" ht="20.25" x14ac:dyDescent="0.3">
      <c r="B7" s="36" t="s">
        <v>118</v>
      </c>
      <c r="N7" s="40">
        <v>2025</v>
      </c>
      <c r="O7" s="40">
        <v>15</v>
      </c>
      <c r="P7" s="40">
        <f>F26+F27+F28+F29+F30+F31+F32+F33+F34+F35+F36+F37+F38+F39+F40</f>
        <v>1992</v>
      </c>
      <c r="Q7" s="40">
        <f>G26+G27+G28+G29+G30+G31+G32+G33+G34+G35+G36+G37+G38+G39+G40</f>
        <v>254613.93300000002</v>
      </c>
      <c r="R7" s="40">
        <v>2</v>
      </c>
      <c r="S7" s="40" t="e">
        <f>#REF!</f>
        <v>#REF!</v>
      </c>
      <c r="T7" s="40" t="e">
        <f>#REF!</f>
        <v>#REF!</v>
      </c>
      <c r="U7" s="44" t="e">
        <f t="shared" si="1"/>
        <v>#REF!</v>
      </c>
      <c r="V7" s="44" t="e">
        <f t="shared" si="2"/>
        <v>#REF!</v>
      </c>
      <c r="W7" s="45">
        <f t="shared" si="3"/>
        <v>17</v>
      </c>
    </row>
    <row r="8" spans="1:24" ht="20.25" x14ac:dyDescent="0.3">
      <c r="B8" s="36" t="s">
        <v>115</v>
      </c>
      <c r="N8" s="46"/>
      <c r="O8" s="46"/>
      <c r="P8" s="47">
        <f>SUM(F16+F17+F18)</f>
        <v>850</v>
      </c>
      <c r="Q8" s="47">
        <f>SUM(G16+G17+G18)</f>
        <v>112086.2</v>
      </c>
      <c r="R8" s="47"/>
      <c r="S8" s="46"/>
      <c r="T8" s="46"/>
      <c r="U8" s="46"/>
      <c r="V8" s="46"/>
      <c r="W8" s="39"/>
    </row>
    <row r="9" spans="1:24" ht="18" x14ac:dyDescent="0.25">
      <c r="B9" s="30"/>
      <c r="N9" s="46"/>
      <c r="O9" s="46"/>
      <c r="P9" s="46"/>
      <c r="Q9" s="46"/>
      <c r="R9" s="46"/>
      <c r="S9" s="46"/>
      <c r="T9" s="46"/>
      <c r="U9" s="46"/>
      <c r="V9" s="46"/>
      <c r="W9" s="39"/>
    </row>
    <row r="10" spans="1:24" ht="40.5" customHeight="1" x14ac:dyDescent="0.2">
      <c r="A10" s="484" t="s">
        <v>0</v>
      </c>
      <c r="B10" s="484" t="s">
        <v>1</v>
      </c>
      <c r="C10" s="484" t="s">
        <v>5</v>
      </c>
      <c r="D10" s="484" t="s">
        <v>3</v>
      </c>
      <c r="E10" s="484" t="s">
        <v>2</v>
      </c>
      <c r="F10" s="484" t="s">
        <v>4</v>
      </c>
      <c r="G10" s="486" t="s">
        <v>93</v>
      </c>
      <c r="H10" s="487"/>
      <c r="I10" s="484" t="s">
        <v>97</v>
      </c>
      <c r="J10" s="484" t="s">
        <v>11</v>
      </c>
      <c r="K10" s="484" t="s">
        <v>13</v>
      </c>
      <c r="L10" s="484" t="s">
        <v>95</v>
      </c>
      <c r="N10" s="44" t="s">
        <v>113</v>
      </c>
      <c r="O10" s="40"/>
      <c r="P10" s="482">
        <v>2026</v>
      </c>
      <c r="Q10" s="483"/>
      <c r="R10" s="482">
        <v>2027</v>
      </c>
      <c r="S10" s="483"/>
      <c r="T10" s="482" t="s">
        <v>114</v>
      </c>
      <c r="U10" s="483"/>
      <c r="W10" s="39"/>
    </row>
    <row r="11" spans="1:24" ht="30.75" customHeight="1" x14ac:dyDescent="0.2">
      <c r="A11" s="485"/>
      <c r="B11" s="485"/>
      <c r="C11" s="485"/>
      <c r="D11" s="485"/>
      <c r="E11" s="485"/>
      <c r="F11" s="485"/>
      <c r="G11" s="51" t="s">
        <v>105</v>
      </c>
      <c r="H11" s="52" t="s">
        <v>127</v>
      </c>
      <c r="I11" s="485"/>
      <c r="J11" s="485"/>
      <c r="K11" s="485"/>
      <c r="L11" s="485"/>
      <c r="N11" s="44"/>
      <c r="O11" s="40"/>
      <c r="P11" s="48"/>
      <c r="Q11" s="49"/>
      <c r="R11" s="48"/>
      <c r="S11" s="49"/>
      <c r="T11" s="48"/>
      <c r="U11" s="49"/>
      <c r="W11" s="39"/>
    </row>
    <row r="12" spans="1:24" s="35" customFormat="1" ht="26.25" customHeight="1" x14ac:dyDescent="0.3">
      <c r="A12" s="31"/>
      <c r="B12" s="27" t="s">
        <v>105</v>
      </c>
      <c r="C12" s="28"/>
      <c r="D12" s="28"/>
      <c r="E12" s="29"/>
      <c r="F12" s="32">
        <f>SUM(F13:F40)</f>
        <v>3969</v>
      </c>
      <c r="G12" s="32">
        <f>SUM(G13:G40)</f>
        <v>428389.93299999996</v>
      </c>
      <c r="H12" s="54">
        <f>SUM(H13:H40)</f>
        <v>127900</v>
      </c>
      <c r="I12" s="33"/>
      <c r="J12" s="32"/>
      <c r="K12" s="32">
        <f t="shared" ref="K12" si="4">SUM(K13:K40)</f>
        <v>16114.2636</v>
      </c>
      <c r="L12" s="34"/>
      <c r="N12" s="41"/>
      <c r="O12" s="41"/>
      <c r="P12" s="42">
        <f>F18+F20+F21++F28+F36+F40</f>
        <v>708</v>
      </c>
      <c r="Q12" s="40">
        <f>G18+G20+G21++G28+G36+G40</f>
        <v>105171</v>
      </c>
      <c r="R12" s="42">
        <f>F16+F17+F23+F24+F26+F29+F31+F32+F35+F38+F39</f>
        <v>1738</v>
      </c>
      <c r="S12" s="42">
        <f>G16+G17+G23+G24+G26+G29+G31+G32+G35+G38+G39</f>
        <v>109973.8</v>
      </c>
      <c r="T12" s="42">
        <f>F12-P12-R12</f>
        <v>1523</v>
      </c>
      <c r="U12" s="42">
        <f>G12-Q12-S12</f>
        <v>213245.13299999997</v>
      </c>
      <c r="W12" s="39"/>
    </row>
    <row r="13" spans="1:24" ht="140.25" customHeight="1" x14ac:dyDescent="0.2">
      <c r="A13" s="7">
        <v>1</v>
      </c>
      <c r="B13" s="8">
        <v>44930</v>
      </c>
      <c r="C13" s="7" t="s">
        <v>25</v>
      </c>
      <c r="D13" s="4" t="s">
        <v>126</v>
      </c>
      <c r="E13" s="18" t="s">
        <v>26</v>
      </c>
      <c r="F13" s="10">
        <v>50</v>
      </c>
      <c r="G13" s="11">
        <v>386.8</v>
      </c>
      <c r="H13" s="53"/>
      <c r="I13" s="25" t="s">
        <v>129</v>
      </c>
      <c r="J13" s="11"/>
      <c r="K13" s="12">
        <v>0.99360000000000004</v>
      </c>
      <c r="L13" s="9" t="s">
        <v>23</v>
      </c>
      <c r="O13" s="44">
        <f>SUM(F12-F13-F14)</f>
        <v>3419</v>
      </c>
      <c r="P13" s="44">
        <f>SUM(G12-G13-G14)</f>
        <v>418203.13299999997</v>
      </c>
      <c r="W13" s="38"/>
      <c r="X13" s="38"/>
    </row>
    <row r="14" spans="1:24" ht="86.25" x14ac:dyDescent="0.2">
      <c r="A14" s="7">
        <v>2</v>
      </c>
      <c r="B14" s="8">
        <v>44930</v>
      </c>
      <c r="C14" s="7" t="s">
        <v>27</v>
      </c>
      <c r="D14" s="4" t="s">
        <v>125</v>
      </c>
      <c r="E14" s="18" t="s">
        <v>28</v>
      </c>
      <c r="F14" s="10">
        <v>500</v>
      </c>
      <c r="G14" s="11">
        <v>9800</v>
      </c>
      <c r="H14" s="55">
        <v>300</v>
      </c>
      <c r="I14" s="25" t="s">
        <v>128</v>
      </c>
      <c r="J14" s="11"/>
      <c r="K14" s="11">
        <v>27</v>
      </c>
      <c r="L14" s="9" t="s">
        <v>23</v>
      </c>
      <c r="O14" s="44">
        <f>SUM(F13:F14)</f>
        <v>550</v>
      </c>
      <c r="P14" s="44">
        <f>SUM(G13:G14)</f>
        <v>10186.799999999999</v>
      </c>
    </row>
    <row r="15" spans="1:24" ht="69" x14ac:dyDescent="0.2">
      <c r="A15" s="7">
        <v>3</v>
      </c>
      <c r="B15" s="8">
        <v>44785</v>
      </c>
      <c r="C15" s="7" t="s">
        <v>10</v>
      </c>
      <c r="D15" s="4" t="s">
        <v>8</v>
      </c>
      <c r="E15" s="18" t="s">
        <v>9</v>
      </c>
      <c r="F15" s="13">
        <v>99</v>
      </c>
      <c r="G15" s="14">
        <v>6503</v>
      </c>
      <c r="H15" s="56"/>
      <c r="I15" s="26" t="s">
        <v>98</v>
      </c>
      <c r="J15" s="9" t="s">
        <v>12</v>
      </c>
      <c r="K15" s="14">
        <v>5</v>
      </c>
      <c r="L15" s="9" t="s">
        <v>14</v>
      </c>
    </row>
    <row r="16" spans="1:24" ht="86.25" x14ac:dyDescent="0.2">
      <c r="A16" s="7">
        <v>4</v>
      </c>
      <c r="B16" s="8">
        <v>45048</v>
      </c>
      <c r="C16" s="7" t="s">
        <v>10</v>
      </c>
      <c r="D16" s="4" t="s">
        <v>17</v>
      </c>
      <c r="E16" s="18" t="s">
        <v>18</v>
      </c>
      <c r="F16" s="13">
        <v>100</v>
      </c>
      <c r="G16" s="14">
        <v>18700</v>
      </c>
      <c r="H16" s="56">
        <v>10000</v>
      </c>
      <c r="I16" s="26" t="s">
        <v>104</v>
      </c>
      <c r="J16" s="18" t="s">
        <v>107</v>
      </c>
      <c r="K16" s="14">
        <v>1300</v>
      </c>
      <c r="L16" s="9" t="s">
        <v>14</v>
      </c>
    </row>
    <row r="17" spans="1:12" ht="86.25" x14ac:dyDescent="0.2">
      <c r="A17" s="7">
        <v>5</v>
      </c>
      <c r="B17" s="8">
        <v>45083</v>
      </c>
      <c r="C17" s="7" t="s">
        <v>10</v>
      </c>
      <c r="D17" s="4" t="s">
        <v>20</v>
      </c>
      <c r="E17" s="18" t="s">
        <v>21</v>
      </c>
      <c r="F17" s="13">
        <v>450</v>
      </c>
      <c r="G17" s="14">
        <v>12386.2</v>
      </c>
      <c r="H17" s="56"/>
      <c r="I17" s="26" t="s">
        <v>104</v>
      </c>
      <c r="J17" s="9" t="s">
        <v>22</v>
      </c>
      <c r="K17" s="11">
        <v>24</v>
      </c>
      <c r="L17" s="9" t="s">
        <v>23</v>
      </c>
    </row>
    <row r="18" spans="1:12" ht="51.75" x14ac:dyDescent="0.2">
      <c r="A18" s="7">
        <v>6</v>
      </c>
      <c r="B18" s="8">
        <v>45240</v>
      </c>
      <c r="C18" s="7" t="s">
        <v>10</v>
      </c>
      <c r="D18" s="4" t="s">
        <v>96</v>
      </c>
      <c r="E18" s="18" t="s">
        <v>24</v>
      </c>
      <c r="F18" s="15">
        <v>300</v>
      </c>
      <c r="G18" s="14">
        <v>81000</v>
      </c>
      <c r="H18" s="56">
        <v>71000</v>
      </c>
      <c r="I18" s="26" t="s">
        <v>99</v>
      </c>
      <c r="J18" s="9" t="s">
        <v>19</v>
      </c>
      <c r="K18" s="16">
        <v>26.47</v>
      </c>
      <c r="L18" s="9" t="s">
        <v>14</v>
      </c>
    </row>
    <row r="19" spans="1:12" ht="129" x14ac:dyDescent="0.2">
      <c r="A19" s="7">
        <v>7</v>
      </c>
      <c r="B19" s="17">
        <v>45392</v>
      </c>
      <c r="C19" s="17" t="s">
        <v>15</v>
      </c>
      <c r="D19" s="5" t="s">
        <v>29</v>
      </c>
      <c r="E19" s="18" t="s">
        <v>108</v>
      </c>
      <c r="F19" s="19">
        <v>50</v>
      </c>
      <c r="G19" s="20">
        <v>1000</v>
      </c>
      <c r="H19" s="57"/>
      <c r="I19" s="26" t="s">
        <v>98</v>
      </c>
      <c r="J19" s="9" t="s">
        <v>19</v>
      </c>
      <c r="K19" s="11">
        <v>797</v>
      </c>
      <c r="L19" s="9" t="s">
        <v>14</v>
      </c>
    </row>
    <row r="20" spans="1:12" ht="120.75" x14ac:dyDescent="0.2">
      <c r="A20" s="7">
        <v>8</v>
      </c>
      <c r="B20" s="17">
        <v>45537</v>
      </c>
      <c r="C20" s="17" t="s">
        <v>30</v>
      </c>
      <c r="D20" s="5" t="s">
        <v>31</v>
      </c>
      <c r="E20" s="18" t="s">
        <v>32</v>
      </c>
      <c r="F20" s="21">
        <v>30</v>
      </c>
      <c r="G20" s="11">
        <v>7200</v>
      </c>
      <c r="H20" s="55"/>
      <c r="I20" s="26" t="s">
        <v>99</v>
      </c>
      <c r="J20" s="9" t="s">
        <v>19</v>
      </c>
      <c r="K20" s="20">
        <v>10</v>
      </c>
      <c r="L20" s="9"/>
    </row>
    <row r="21" spans="1:12" ht="174" x14ac:dyDescent="0.2">
      <c r="A21" s="7">
        <v>9</v>
      </c>
      <c r="B21" s="17">
        <v>45558</v>
      </c>
      <c r="C21" s="17" t="s">
        <v>30</v>
      </c>
      <c r="D21" s="5" t="s">
        <v>33</v>
      </c>
      <c r="E21" s="18" t="s">
        <v>109</v>
      </c>
      <c r="F21" s="21">
        <v>128</v>
      </c>
      <c r="G21" s="11">
        <v>10000</v>
      </c>
      <c r="H21" s="55">
        <v>7000</v>
      </c>
      <c r="I21" s="26" t="s">
        <v>99</v>
      </c>
      <c r="J21" s="9" t="s">
        <v>19</v>
      </c>
      <c r="K21" s="20">
        <v>30</v>
      </c>
      <c r="L21" s="9" t="s">
        <v>14</v>
      </c>
    </row>
    <row r="22" spans="1:12" ht="69" x14ac:dyDescent="0.2">
      <c r="A22" s="7">
        <v>10</v>
      </c>
      <c r="B22" s="17">
        <v>45568</v>
      </c>
      <c r="C22" s="17" t="s">
        <v>34</v>
      </c>
      <c r="D22" s="5" t="s">
        <v>35</v>
      </c>
      <c r="E22" s="18" t="s">
        <v>36</v>
      </c>
      <c r="F22" s="7">
        <v>60</v>
      </c>
      <c r="G22" s="7">
        <v>550</v>
      </c>
      <c r="H22" s="58"/>
      <c r="I22" s="26"/>
      <c r="J22" s="9" t="s">
        <v>19</v>
      </c>
      <c r="K22" s="20">
        <v>6</v>
      </c>
      <c r="L22" s="9" t="s">
        <v>14</v>
      </c>
    </row>
    <row r="23" spans="1:12" ht="51.75" x14ac:dyDescent="0.2">
      <c r="A23" s="7">
        <v>11</v>
      </c>
      <c r="B23" s="17">
        <v>45638</v>
      </c>
      <c r="C23" s="17" t="s">
        <v>6</v>
      </c>
      <c r="D23" s="5" t="s">
        <v>37</v>
      </c>
      <c r="E23" s="18" t="s">
        <v>38</v>
      </c>
      <c r="F23" s="21">
        <v>70</v>
      </c>
      <c r="G23" s="11">
        <v>15000</v>
      </c>
      <c r="H23" s="55">
        <v>15000</v>
      </c>
      <c r="I23" s="26" t="s">
        <v>104</v>
      </c>
      <c r="J23" s="9" t="s">
        <v>39</v>
      </c>
      <c r="K23" s="20">
        <v>15</v>
      </c>
      <c r="L23" s="9" t="s">
        <v>14</v>
      </c>
    </row>
    <row r="24" spans="1:12" ht="51.75" x14ac:dyDescent="0.2">
      <c r="A24" s="7">
        <v>12</v>
      </c>
      <c r="B24" s="17">
        <v>45652</v>
      </c>
      <c r="C24" s="17" t="s">
        <v>40</v>
      </c>
      <c r="D24" s="5" t="s">
        <v>41</v>
      </c>
      <c r="E24" s="18" t="s">
        <v>42</v>
      </c>
      <c r="F24" s="7">
        <v>100</v>
      </c>
      <c r="G24" s="11">
        <v>750</v>
      </c>
      <c r="H24" s="55"/>
      <c r="I24" s="26" t="s">
        <v>104</v>
      </c>
      <c r="J24" s="9" t="s">
        <v>43</v>
      </c>
      <c r="K24" s="11">
        <v>2000</v>
      </c>
      <c r="L24" s="9" t="s">
        <v>14</v>
      </c>
    </row>
    <row r="25" spans="1:12" ht="120.75" x14ac:dyDescent="0.2">
      <c r="A25" s="7">
        <v>13</v>
      </c>
      <c r="B25" s="17">
        <v>45331</v>
      </c>
      <c r="C25" s="22" t="s">
        <v>44</v>
      </c>
      <c r="D25" s="5" t="s">
        <v>45</v>
      </c>
      <c r="E25" s="18" t="s">
        <v>46</v>
      </c>
      <c r="F25" s="21">
        <v>40</v>
      </c>
      <c r="G25" s="11">
        <v>10500</v>
      </c>
      <c r="H25" s="55"/>
      <c r="I25" s="26" t="s">
        <v>98</v>
      </c>
      <c r="J25" s="9" t="s">
        <v>47</v>
      </c>
      <c r="K25" s="11">
        <v>5</v>
      </c>
      <c r="L25" s="9" t="s">
        <v>48</v>
      </c>
    </row>
    <row r="26" spans="1:12" ht="120.75" x14ac:dyDescent="0.2">
      <c r="A26" s="7">
        <v>14</v>
      </c>
      <c r="B26" s="23">
        <v>45687</v>
      </c>
      <c r="C26" s="23" t="s">
        <v>30</v>
      </c>
      <c r="D26" s="6" t="s">
        <v>52</v>
      </c>
      <c r="E26" s="18" t="s">
        <v>53</v>
      </c>
      <c r="F26" s="21">
        <v>100</v>
      </c>
      <c r="G26" s="11">
        <v>3250</v>
      </c>
      <c r="H26" s="55"/>
      <c r="I26" s="26" t="s">
        <v>104</v>
      </c>
      <c r="J26" s="9" t="s">
        <v>54</v>
      </c>
      <c r="K26" s="11">
        <v>50</v>
      </c>
      <c r="L26" s="9" t="s">
        <v>14</v>
      </c>
    </row>
    <row r="27" spans="1:12" ht="69" x14ac:dyDescent="0.2">
      <c r="A27" s="7">
        <v>15</v>
      </c>
      <c r="B27" s="23">
        <v>45687</v>
      </c>
      <c r="C27" s="23" t="s">
        <v>55</v>
      </c>
      <c r="D27" s="6" t="s">
        <v>56</v>
      </c>
      <c r="E27" s="18" t="s">
        <v>57</v>
      </c>
      <c r="F27" s="21">
        <v>400</v>
      </c>
      <c r="G27" s="11">
        <v>121580</v>
      </c>
      <c r="H27" s="55"/>
      <c r="I27" s="26" t="s">
        <v>101</v>
      </c>
      <c r="J27" s="9" t="s">
        <v>58</v>
      </c>
      <c r="K27" s="11">
        <v>1340</v>
      </c>
      <c r="L27" s="9" t="s">
        <v>14</v>
      </c>
    </row>
    <row r="28" spans="1:12" ht="69" x14ac:dyDescent="0.2">
      <c r="A28" s="7">
        <v>16</v>
      </c>
      <c r="B28" s="23">
        <v>45687</v>
      </c>
      <c r="C28" s="23" t="s">
        <v>34</v>
      </c>
      <c r="D28" s="6" t="s">
        <v>59</v>
      </c>
      <c r="E28" s="18" t="s">
        <v>60</v>
      </c>
      <c r="F28" s="24">
        <v>30</v>
      </c>
      <c r="G28" s="20">
        <v>5000</v>
      </c>
      <c r="H28" s="57"/>
      <c r="I28" s="26" t="s">
        <v>99</v>
      </c>
      <c r="J28" s="9" t="s">
        <v>61</v>
      </c>
      <c r="K28" s="11">
        <v>2500</v>
      </c>
      <c r="L28" s="9" t="s">
        <v>23</v>
      </c>
    </row>
    <row r="29" spans="1:12" ht="69" x14ac:dyDescent="0.2">
      <c r="A29" s="7">
        <v>17</v>
      </c>
      <c r="B29" s="23">
        <v>45715</v>
      </c>
      <c r="C29" s="23" t="s">
        <v>30</v>
      </c>
      <c r="D29" s="6" t="s">
        <v>62</v>
      </c>
      <c r="E29" s="18" t="s">
        <v>63</v>
      </c>
      <c r="F29" s="21">
        <v>85</v>
      </c>
      <c r="G29" s="11">
        <v>3500</v>
      </c>
      <c r="H29" s="55">
        <v>1500</v>
      </c>
      <c r="I29" s="26" t="s">
        <v>104</v>
      </c>
      <c r="J29" s="9" t="s">
        <v>64</v>
      </c>
      <c r="K29" s="11">
        <v>94</v>
      </c>
      <c r="L29" s="9" t="s">
        <v>14</v>
      </c>
    </row>
    <row r="30" spans="1:12" ht="69" x14ac:dyDescent="0.2">
      <c r="A30" s="7">
        <v>18</v>
      </c>
      <c r="B30" s="23">
        <v>45715</v>
      </c>
      <c r="C30" s="23" t="s">
        <v>65</v>
      </c>
      <c r="D30" s="6" t="s">
        <v>66</v>
      </c>
      <c r="E30" s="18" t="s">
        <v>67</v>
      </c>
      <c r="F30" s="21">
        <v>65</v>
      </c>
      <c r="G30" s="11">
        <v>21000</v>
      </c>
      <c r="H30" s="55"/>
      <c r="I30" s="26" t="s">
        <v>98</v>
      </c>
      <c r="J30" s="9" t="s">
        <v>68</v>
      </c>
      <c r="K30" s="11">
        <v>10.1</v>
      </c>
      <c r="L30" s="9" t="s">
        <v>69</v>
      </c>
    </row>
    <row r="31" spans="1:12" ht="34.5" x14ac:dyDescent="0.2">
      <c r="A31" s="7">
        <v>19</v>
      </c>
      <c r="B31" s="23">
        <v>45723</v>
      </c>
      <c r="C31" s="23" t="s">
        <v>55</v>
      </c>
      <c r="D31" s="6" t="s">
        <v>70</v>
      </c>
      <c r="E31" s="18" t="s">
        <v>71</v>
      </c>
      <c r="F31" s="21">
        <v>460</v>
      </c>
      <c r="G31" s="11">
        <v>35291</v>
      </c>
      <c r="H31" s="55">
        <v>23100</v>
      </c>
      <c r="I31" s="26" t="s">
        <v>104</v>
      </c>
      <c r="J31" s="9" t="s">
        <v>19</v>
      </c>
      <c r="K31" s="11">
        <v>31.8</v>
      </c>
      <c r="L31" s="9" t="s">
        <v>14</v>
      </c>
    </row>
    <row r="32" spans="1:12" ht="86.25" x14ac:dyDescent="0.2">
      <c r="A32" s="7">
        <v>20</v>
      </c>
      <c r="B32" s="23">
        <v>45757</v>
      </c>
      <c r="C32" s="23" t="s">
        <v>72</v>
      </c>
      <c r="D32" s="6" t="s">
        <v>73</v>
      </c>
      <c r="E32" s="18" t="s">
        <v>74</v>
      </c>
      <c r="F32" s="24">
        <v>250</v>
      </c>
      <c r="G32" s="20">
        <v>15800</v>
      </c>
      <c r="H32" s="57"/>
      <c r="I32" s="26" t="s">
        <v>104</v>
      </c>
      <c r="J32" s="9" t="s">
        <v>75</v>
      </c>
      <c r="K32" s="11">
        <v>10</v>
      </c>
      <c r="L32" s="9" t="s">
        <v>14</v>
      </c>
    </row>
    <row r="33" spans="1:12" ht="51.75" x14ac:dyDescent="0.2">
      <c r="A33" s="7">
        <v>21</v>
      </c>
      <c r="B33" s="23">
        <v>45771</v>
      </c>
      <c r="C33" s="23" t="s">
        <v>30</v>
      </c>
      <c r="D33" s="6" t="s">
        <v>76</v>
      </c>
      <c r="E33" s="18" t="s">
        <v>77</v>
      </c>
      <c r="F33" s="21">
        <v>50</v>
      </c>
      <c r="G33" s="11">
        <v>31840</v>
      </c>
      <c r="H33" s="55"/>
      <c r="I33" s="26" t="s">
        <v>103</v>
      </c>
      <c r="J33" s="9" t="s">
        <v>112</v>
      </c>
      <c r="K33" s="11">
        <v>84</v>
      </c>
      <c r="L33" s="9" t="s">
        <v>14</v>
      </c>
    </row>
    <row r="34" spans="1:12" ht="138" x14ac:dyDescent="0.2">
      <c r="A34" s="7">
        <v>22</v>
      </c>
      <c r="B34" s="23">
        <v>45827</v>
      </c>
      <c r="C34" s="23" t="s">
        <v>30</v>
      </c>
      <c r="D34" s="6" t="s">
        <v>50</v>
      </c>
      <c r="E34" s="18" t="s">
        <v>78</v>
      </c>
      <c r="F34" s="19">
        <v>51</v>
      </c>
      <c r="G34" s="11">
        <v>7975.3329999999996</v>
      </c>
      <c r="H34" s="55"/>
      <c r="I34" s="26" t="s">
        <v>102</v>
      </c>
      <c r="J34" s="9" t="s">
        <v>19</v>
      </c>
      <c r="K34" s="11">
        <v>9.6</v>
      </c>
      <c r="L34" s="9" t="s">
        <v>14</v>
      </c>
    </row>
    <row r="35" spans="1:12" ht="69" x14ac:dyDescent="0.2">
      <c r="A35" s="7">
        <v>23</v>
      </c>
      <c r="B35" s="23">
        <v>45827</v>
      </c>
      <c r="C35" s="23" t="s">
        <v>30</v>
      </c>
      <c r="D35" s="6" t="s">
        <v>79</v>
      </c>
      <c r="E35" s="18" t="s">
        <v>111</v>
      </c>
      <c r="F35" s="19">
        <v>20</v>
      </c>
      <c r="G35" s="11">
        <v>1576.6</v>
      </c>
      <c r="H35" s="55"/>
      <c r="I35" s="26" t="s">
        <v>104</v>
      </c>
      <c r="J35" s="9" t="s">
        <v>80</v>
      </c>
      <c r="K35" s="11">
        <v>4457.7</v>
      </c>
      <c r="L35" s="9" t="s">
        <v>14</v>
      </c>
    </row>
    <row r="36" spans="1:12" ht="103.5" x14ac:dyDescent="0.2">
      <c r="A36" s="7">
        <v>24</v>
      </c>
      <c r="B36" s="23">
        <v>45841</v>
      </c>
      <c r="C36" s="23" t="s">
        <v>30</v>
      </c>
      <c r="D36" s="6" t="s">
        <v>81</v>
      </c>
      <c r="E36" s="18" t="s">
        <v>82</v>
      </c>
      <c r="F36" s="19">
        <v>200</v>
      </c>
      <c r="G36" s="11">
        <v>1221</v>
      </c>
      <c r="H36" s="55"/>
      <c r="I36" s="26" t="s">
        <v>99</v>
      </c>
      <c r="J36" s="9" t="s">
        <v>110</v>
      </c>
      <c r="K36" s="11">
        <v>3</v>
      </c>
      <c r="L36" s="9" t="s">
        <v>14</v>
      </c>
    </row>
    <row r="37" spans="1:12" ht="69" x14ac:dyDescent="0.2">
      <c r="A37" s="7">
        <v>25</v>
      </c>
      <c r="B37" s="23">
        <v>45890</v>
      </c>
      <c r="C37" s="23" t="s">
        <v>55</v>
      </c>
      <c r="D37" s="6" t="s">
        <v>83</v>
      </c>
      <c r="E37" s="18" t="s">
        <v>84</v>
      </c>
      <c r="F37" s="21">
        <v>158</v>
      </c>
      <c r="G37" s="11">
        <v>2110</v>
      </c>
      <c r="H37" s="55"/>
      <c r="I37" s="26" t="s">
        <v>100</v>
      </c>
      <c r="J37" s="9" t="s">
        <v>89</v>
      </c>
      <c r="K37" s="11">
        <v>20</v>
      </c>
      <c r="L37" s="9" t="s">
        <v>14</v>
      </c>
    </row>
    <row r="38" spans="1:12" ht="69" x14ac:dyDescent="0.2">
      <c r="A38" s="7">
        <v>26</v>
      </c>
      <c r="B38" s="23">
        <v>45925</v>
      </c>
      <c r="C38" s="23" t="s">
        <v>25</v>
      </c>
      <c r="D38" s="6" t="s">
        <v>85</v>
      </c>
      <c r="E38" s="18" t="s">
        <v>86</v>
      </c>
      <c r="F38" s="21">
        <v>68</v>
      </c>
      <c r="G38" s="11">
        <v>3120</v>
      </c>
      <c r="H38" s="55"/>
      <c r="I38" s="26" t="s">
        <v>104</v>
      </c>
      <c r="J38" s="9" t="s">
        <v>68</v>
      </c>
      <c r="K38" s="11">
        <v>50</v>
      </c>
      <c r="L38" s="9" t="s">
        <v>14</v>
      </c>
    </row>
    <row r="39" spans="1:12" ht="34.5" x14ac:dyDescent="0.2">
      <c r="A39" s="7">
        <v>27</v>
      </c>
      <c r="B39" s="23">
        <v>45967</v>
      </c>
      <c r="C39" s="23" t="s">
        <v>25</v>
      </c>
      <c r="D39" s="6" t="s">
        <v>87</v>
      </c>
      <c r="E39" s="18" t="s">
        <v>88</v>
      </c>
      <c r="F39" s="21">
        <v>35</v>
      </c>
      <c r="G39" s="11">
        <v>600</v>
      </c>
      <c r="H39" s="55"/>
      <c r="I39" s="26" t="s">
        <v>104</v>
      </c>
      <c r="J39" s="9" t="s">
        <v>89</v>
      </c>
      <c r="K39" s="11">
        <v>707.6</v>
      </c>
      <c r="L39" s="9" t="s">
        <v>14</v>
      </c>
    </row>
    <row r="40" spans="1:12" ht="86.25" x14ac:dyDescent="0.2">
      <c r="A40" s="7">
        <v>28</v>
      </c>
      <c r="B40" s="23">
        <v>45988</v>
      </c>
      <c r="C40" s="23" t="s">
        <v>6</v>
      </c>
      <c r="D40" s="6" t="s">
        <v>90</v>
      </c>
      <c r="E40" s="18" t="s">
        <v>91</v>
      </c>
      <c r="F40" s="21">
        <v>20</v>
      </c>
      <c r="G40" s="11">
        <v>750</v>
      </c>
      <c r="H40" s="55"/>
      <c r="I40" s="26" t="s">
        <v>99</v>
      </c>
      <c r="J40" s="10" t="s">
        <v>80</v>
      </c>
      <c r="K40" s="11">
        <v>2500</v>
      </c>
      <c r="L40" s="9" t="s">
        <v>14</v>
      </c>
    </row>
  </sheetData>
  <autoFilter ref="A12:L40" xr:uid="{00000000-0009-0000-0000-000008000000}"/>
  <mergeCells count="16">
    <mergeCell ref="P2:Q2"/>
    <mergeCell ref="S2:T2"/>
    <mergeCell ref="P10:Q10"/>
    <mergeCell ref="A10:A11"/>
    <mergeCell ref="R10:S10"/>
    <mergeCell ref="T10:U10"/>
    <mergeCell ref="G10:H10"/>
    <mergeCell ref="I10:I11"/>
    <mergeCell ref="J10:J11"/>
    <mergeCell ref="K10:K11"/>
    <mergeCell ref="L10:L11"/>
    <mergeCell ref="C10:C11"/>
    <mergeCell ref="D10:D11"/>
    <mergeCell ref="E10:E11"/>
    <mergeCell ref="F10:F11"/>
    <mergeCell ref="B10:B11"/>
  </mergeCells>
  <phoneticPr fontId="19" type="noConversion"/>
  <printOptions horizontalCentered="1"/>
  <pageMargins left="0.31496062992125984" right="0.11811023622047245" top="0.35433070866141736" bottom="0.15748031496062992" header="0.31496062992125984" footer="0.31496062992125984"/>
  <pageSetup paperSize="9" scale="70"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6</vt:i4>
      </vt:variant>
    </vt:vector>
  </HeadingPairs>
  <TitlesOfParts>
    <vt:vector size="15" baseType="lpstr">
      <vt:lpstr>ОБЩЕЕ</vt:lpstr>
      <vt:lpstr>Реализованные</vt:lpstr>
      <vt:lpstr>Реализуемые</vt:lpstr>
      <vt:lpstr>Расширение</vt:lpstr>
      <vt:lpstr>Проблемные</vt:lpstr>
      <vt:lpstr>Прост и исключенные</vt:lpstr>
      <vt:lpstr>РКС</vt:lpstr>
      <vt:lpstr>СВОД</vt:lpstr>
      <vt:lpstr>Реализация</vt:lpstr>
      <vt:lpstr>ОБЩЕЕ!Заголовки_для_печати</vt:lpstr>
      <vt:lpstr>Реализация!Заголовки_для_печати</vt:lpstr>
      <vt:lpstr>СВОД!Заголовки_для_печати</vt:lpstr>
      <vt:lpstr>ОБЩЕЕ!Область_печати</vt:lpstr>
      <vt:lpstr>Реализация!Область_печати</vt:lpstr>
      <vt:lpstr>СВОД!Область_печати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 Adil</dc:creator>
  <cp:lastModifiedBy>Даурен Исаев</cp:lastModifiedBy>
  <cp:lastPrinted>2026-07-10T11:48:32Z</cp:lastPrinted>
  <dcterms:created xsi:type="dcterms:W3CDTF">2026-05-14T10:50:15Z</dcterms:created>
  <dcterms:modified xsi:type="dcterms:W3CDTF">2026-07-16T08:22:56Z</dcterms:modified>
</cp:coreProperties>
</file>